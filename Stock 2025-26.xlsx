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C:\JP TECHATRONICS 2022-2023\2025-2026\"/>
    </mc:Choice>
  </mc:AlternateContent>
  <xr:revisionPtr revIDLastSave="0" documentId="13_ncr:1_{1FD06CD3-B63B-4E40-9AC5-77C4B0434A07}" xr6:coauthVersionLast="47" xr6:coauthVersionMax="47" xr10:uidLastSave="{00000000-0000-0000-0000-000000000000}"/>
  <bookViews>
    <workbookView xWindow="-110" yWindow="-110" windowWidth="19420" windowHeight="10420" tabRatio="929" activeTab="5" xr2:uid="{00000000-000D-0000-FFFF-FFFF00000000}"/>
  </bookViews>
  <sheets>
    <sheet name="STOCK DETAILS " sheetId="2" r:id="rId1"/>
    <sheet name="Petrol Expense Vivek" sheetId="5" state="hidden" r:id="rId2"/>
    <sheet name="PUTZ" sheetId="6" state="hidden" r:id="rId3"/>
    <sheet name="PURCHASE ( SUNDRY CREDITOR )" sheetId="3" r:id="rId4"/>
    <sheet name="Delivery Charges" sheetId="13" r:id="rId5"/>
    <sheet name="SALES ( SUNDRY DEBTORS )" sheetId="4" r:id="rId6"/>
    <sheet name="Petty Cash" sheetId="8" r:id="rId7"/>
    <sheet name="CD-3167002097 CHEQUE DETAILS" sheetId="14" r:id="rId8"/>
    <sheet name="Material Location" sheetId="9" r:id="rId9"/>
    <sheet name="File location" sheetId="11" r:id="rId10"/>
    <sheet name=" Materials Vendor Details " sheetId="12" r:id="rId11"/>
  </sheets>
  <definedNames>
    <definedName name="_xlnm._FilterDatabase" localSheetId="10" hidden="1">' Materials Vendor Details '!$A$1:$H$43</definedName>
    <definedName name="_xlnm._FilterDatabase" localSheetId="4" hidden="1">'Delivery Charges'!$A$1:$O$69</definedName>
    <definedName name="_xlnm._FilterDatabase" localSheetId="8" hidden="1">'Material Location'!$A$1:$I$206</definedName>
    <definedName name="_xlnm._FilterDatabase" localSheetId="6" hidden="1">'Petty Cash'!$D$1:$D$238</definedName>
    <definedName name="_xlnm._FilterDatabase" localSheetId="3" hidden="1">'PURCHASE ( SUNDRY CREDITOR )'!$A$1:$I$72</definedName>
    <definedName name="_xlnm._FilterDatabase" localSheetId="5" hidden="1">'SALES ( SUNDRY DEBTORS )'!$A$1:$K$6</definedName>
    <definedName name="_xlnm._FilterDatabase" localSheetId="0" hidden="1">'STOCK DETAILS '!#REF!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7" i="8" l="1"/>
  <c r="G16" i="8"/>
  <c r="G15" i="8"/>
  <c r="F15" i="8"/>
  <c r="G14" i="8"/>
  <c r="G13" i="8"/>
  <c r="G12" i="8"/>
  <c r="I190" i="9"/>
  <c r="I189" i="9"/>
  <c r="I188" i="9"/>
  <c r="I187" i="9"/>
  <c r="I186" i="9"/>
  <c r="I185" i="9"/>
  <c r="I184" i="9"/>
  <c r="I183" i="9"/>
  <c r="I182" i="9"/>
  <c r="I181" i="9"/>
  <c r="I180" i="9"/>
  <c r="I179" i="9"/>
  <c r="I178" i="9"/>
  <c r="I177" i="9"/>
  <c r="I176" i="9"/>
  <c r="I175" i="9"/>
  <c r="I174" i="9"/>
  <c r="I173" i="9"/>
  <c r="I172" i="9"/>
  <c r="I171" i="9"/>
  <c r="I170" i="9"/>
  <c r="I169" i="9"/>
  <c r="I168" i="9"/>
  <c r="I167" i="9"/>
  <c r="I166" i="9"/>
  <c r="I165" i="9"/>
  <c r="I164" i="9"/>
  <c r="I163" i="9"/>
  <c r="I162" i="9"/>
  <c r="I161" i="9"/>
  <c r="I160" i="9"/>
  <c r="I159" i="9"/>
  <c r="I158" i="9"/>
  <c r="I157" i="9"/>
  <c r="I156" i="9"/>
  <c r="I155" i="9"/>
  <c r="I154" i="9"/>
  <c r="I153" i="9"/>
  <c r="I152" i="9"/>
  <c r="I151" i="9"/>
  <c r="I150" i="9"/>
  <c r="I149" i="9"/>
  <c r="I148" i="9"/>
  <c r="I147" i="9"/>
  <c r="I146" i="9"/>
  <c r="I145" i="9"/>
  <c r="I144" i="9"/>
  <c r="I143" i="9"/>
  <c r="I142" i="9"/>
  <c r="I141" i="9"/>
  <c r="I140" i="9"/>
  <c r="I139" i="9"/>
  <c r="I138" i="9"/>
  <c r="I137" i="9"/>
  <c r="I136" i="9"/>
  <c r="I135" i="9"/>
  <c r="I134" i="9"/>
  <c r="I133" i="9"/>
  <c r="I132" i="9"/>
  <c r="I131" i="9"/>
  <c r="I130" i="9"/>
  <c r="I129" i="9"/>
  <c r="I128" i="9"/>
  <c r="I127" i="9"/>
  <c r="I126" i="9"/>
  <c r="I125" i="9"/>
  <c r="I124" i="9"/>
  <c r="I123" i="9"/>
  <c r="I122" i="9"/>
  <c r="I121" i="9"/>
  <c r="I120" i="9"/>
  <c r="I119" i="9"/>
  <c r="I118" i="9"/>
  <c r="I117" i="9"/>
  <c r="I116" i="9"/>
  <c r="I115" i="9"/>
  <c r="I114" i="9"/>
  <c r="I113" i="9"/>
  <c r="I112" i="9"/>
  <c r="I111" i="9"/>
  <c r="I110" i="9"/>
  <c r="I109" i="9"/>
  <c r="I108" i="9"/>
  <c r="I107" i="9"/>
  <c r="I106" i="9"/>
  <c r="I105" i="9"/>
  <c r="I104" i="9"/>
  <c r="I103" i="9"/>
  <c r="I102" i="9"/>
  <c r="I101" i="9"/>
  <c r="I100" i="9"/>
  <c r="I99" i="9"/>
  <c r="I98" i="9"/>
  <c r="I97" i="9"/>
  <c r="I96" i="9"/>
  <c r="I95" i="9"/>
  <c r="I94" i="9"/>
  <c r="I93" i="9"/>
  <c r="I92" i="9"/>
  <c r="I91" i="9"/>
  <c r="I90" i="9"/>
  <c r="I89" i="9"/>
  <c r="I88" i="9"/>
  <c r="I87" i="9"/>
  <c r="I86" i="9"/>
  <c r="I85" i="9"/>
  <c r="I84" i="9"/>
  <c r="I83" i="9"/>
  <c r="I82" i="9"/>
  <c r="I81" i="9"/>
  <c r="I80" i="9"/>
  <c r="I79" i="9"/>
  <c r="I78" i="9"/>
  <c r="I77" i="9"/>
  <c r="I76" i="9"/>
  <c r="I75" i="9"/>
  <c r="I74" i="9"/>
  <c r="I73" i="9"/>
  <c r="I72" i="9"/>
  <c r="I71" i="9"/>
  <c r="I70" i="9"/>
  <c r="I69" i="9"/>
  <c r="I68" i="9"/>
  <c r="I67" i="9"/>
  <c r="I66" i="9"/>
  <c r="I65" i="9"/>
  <c r="I64" i="9"/>
  <c r="I63" i="9"/>
  <c r="I62" i="9"/>
  <c r="I61" i="9"/>
  <c r="I60" i="9"/>
  <c r="I59" i="9"/>
  <c r="I58" i="9"/>
  <c r="I57" i="9"/>
  <c r="I56" i="9"/>
  <c r="I55" i="9"/>
  <c r="I54" i="9"/>
  <c r="I53" i="9"/>
  <c r="I52" i="9"/>
  <c r="I51" i="9"/>
  <c r="I50" i="9"/>
  <c r="I49" i="9"/>
  <c r="I48" i="9"/>
  <c r="I47" i="9"/>
  <c r="I46" i="9"/>
  <c r="I45" i="9"/>
  <c r="I44" i="9"/>
  <c r="I43" i="9"/>
  <c r="I42" i="9"/>
  <c r="I41" i="9"/>
  <c r="I40" i="9"/>
  <c r="I39" i="9"/>
  <c r="I38" i="9"/>
  <c r="I37" i="9"/>
  <c r="I36" i="9"/>
  <c r="I35" i="9"/>
  <c r="I34" i="9"/>
  <c r="I33" i="9"/>
  <c r="I32" i="9"/>
  <c r="I31" i="9"/>
  <c r="I30" i="9"/>
  <c r="I29" i="9"/>
  <c r="I28" i="9"/>
  <c r="I27" i="9"/>
  <c r="I26" i="9"/>
  <c r="I25" i="9"/>
  <c r="I24" i="9"/>
  <c r="I23" i="9"/>
  <c r="I22" i="9"/>
  <c r="I21" i="9"/>
  <c r="I20" i="9"/>
  <c r="I19" i="9"/>
  <c r="I18" i="9"/>
  <c r="I17" i="9"/>
  <c r="I16" i="9"/>
  <c r="I15" i="9"/>
  <c r="I14" i="9"/>
  <c r="I13" i="9"/>
  <c r="I12" i="9"/>
  <c r="I11" i="9"/>
  <c r="I10" i="9"/>
  <c r="I9" i="9"/>
  <c r="I8" i="9"/>
  <c r="I7" i="9"/>
  <c r="I6" i="9"/>
  <c r="I5" i="9"/>
  <c r="I4" i="9"/>
  <c r="I3" i="9"/>
  <c r="I2" i="9"/>
  <c r="G11" i="8"/>
  <c r="G10" i="8"/>
  <c r="G9" i="8"/>
  <c r="G8" i="8"/>
  <c r="G7" i="8"/>
  <c r="G6" i="8"/>
  <c r="G5" i="8"/>
  <c r="G4" i="8"/>
  <c r="G3" i="8"/>
  <c r="G2" i="8"/>
  <c r="H16" i="4"/>
  <c r="I6" i="4"/>
  <c r="I5" i="4"/>
  <c r="H98" i="13"/>
  <c r="H97" i="13"/>
  <c r="H96" i="13"/>
  <c r="H95" i="13"/>
  <c r="H94" i="13"/>
  <c r="H93" i="13"/>
  <c r="H92" i="13"/>
  <c r="H91" i="13"/>
  <c r="H90" i="13"/>
  <c r="H89" i="13"/>
  <c r="H88" i="13"/>
  <c r="H87" i="13"/>
  <c r="H86" i="13"/>
  <c r="H85" i="13"/>
  <c r="H84" i="13"/>
  <c r="H83" i="13"/>
  <c r="H78" i="13"/>
  <c r="H77" i="13"/>
  <c r="H69" i="13"/>
  <c r="H68" i="13"/>
  <c r="H67" i="13"/>
  <c r="H66" i="13"/>
  <c r="H65" i="13"/>
  <c r="H64" i="13"/>
  <c r="H63" i="13"/>
  <c r="H62" i="13"/>
  <c r="H61" i="13"/>
  <c r="H60" i="13"/>
  <c r="H59" i="13"/>
  <c r="H58" i="13"/>
  <c r="H57" i="13"/>
  <c r="H56" i="13"/>
  <c r="H55" i="13"/>
  <c r="H54" i="13"/>
  <c r="H53" i="13"/>
  <c r="H52" i="13"/>
  <c r="H51" i="13"/>
  <c r="H50" i="13"/>
  <c r="H49" i="13"/>
  <c r="H48" i="13"/>
  <c r="H47" i="13"/>
  <c r="H46" i="13"/>
  <c r="H45" i="13"/>
  <c r="H44" i="13"/>
  <c r="H43" i="13"/>
  <c r="H42" i="13"/>
  <c r="H41" i="13"/>
  <c r="H40" i="13"/>
  <c r="H39" i="13"/>
  <c r="H38" i="13"/>
  <c r="H37" i="13"/>
  <c r="H36" i="13"/>
  <c r="H35" i="13"/>
  <c r="H34" i="13"/>
  <c r="H33" i="13"/>
  <c r="H32" i="13"/>
  <c r="H31" i="13"/>
  <c r="H30" i="13"/>
  <c r="H29" i="13"/>
  <c r="H28" i="13"/>
  <c r="H27" i="13"/>
  <c r="H26" i="13"/>
  <c r="H25" i="13"/>
  <c r="H24" i="13"/>
  <c r="H23" i="13"/>
  <c r="H22" i="13"/>
  <c r="H21" i="13"/>
  <c r="H20" i="13"/>
  <c r="H19" i="13"/>
  <c r="H18" i="13"/>
  <c r="H17" i="13"/>
  <c r="H16" i="13"/>
  <c r="H15" i="13"/>
  <c r="H14" i="13"/>
  <c r="H13" i="13"/>
  <c r="H12" i="13"/>
  <c r="H11" i="13"/>
  <c r="K9" i="13"/>
  <c r="K8" i="13"/>
  <c r="K7" i="13"/>
  <c r="K6" i="13"/>
  <c r="K5" i="13"/>
  <c r="K4" i="13"/>
  <c r="K3" i="13"/>
  <c r="E50" i="3"/>
  <c r="F50" i="3" s="1"/>
  <c r="E45" i="3"/>
  <c r="F45" i="3" s="1"/>
  <c r="D10" i="6"/>
  <c r="F5" i="5"/>
  <c r="D5" i="5"/>
  <c r="F4" i="5"/>
  <c r="D4" i="5"/>
  <c r="F3" i="5"/>
  <c r="D3" i="5"/>
  <c r="F2" i="5"/>
  <c r="D2" i="5"/>
</calcChain>
</file>

<file path=xl/sharedStrings.xml><?xml version="1.0" encoding="utf-8"?>
<sst xmlns="http://schemas.openxmlformats.org/spreadsheetml/2006/main" count="1541" uniqueCount="787">
  <si>
    <t>INWARD</t>
  </si>
  <si>
    <t>OUTWARD</t>
  </si>
  <si>
    <t>Date</t>
  </si>
  <si>
    <t>Invoice No.</t>
  </si>
  <si>
    <t>Vendor</t>
  </si>
  <si>
    <t>Material Description</t>
  </si>
  <si>
    <t>Qty</t>
  </si>
  <si>
    <t>Stock Location</t>
  </si>
  <si>
    <t>Receiver name</t>
  </si>
  <si>
    <t>Invoice no.</t>
  </si>
  <si>
    <t>Client</t>
  </si>
  <si>
    <t>Balance Qty</t>
  </si>
  <si>
    <t>PNJ232409443</t>
  </si>
  <si>
    <t>Silicon Computers</t>
  </si>
  <si>
    <t>EVM DDR4 4GB 2666mhz DESKTOP RAM</t>
  </si>
  <si>
    <t>Office</t>
  </si>
  <si>
    <t>Ganesh</t>
  </si>
  <si>
    <t>b24-25MQ101</t>
  </si>
  <si>
    <t>Putzmeister</t>
  </si>
  <si>
    <t>Screw Conveyor Bellow_Dia174x500mm</t>
  </si>
  <si>
    <t>Verna</t>
  </si>
  <si>
    <t>Discharge Chute Bellow_Dia 500x240mm</t>
  </si>
  <si>
    <t>PNJ/24-25/004</t>
  </si>
  <si>
    <t>Hatley Technologies</t>
  </si>
  <si>
    <t>Monitor Lenovo D19-10 18.5'' HDMI (Serial Number - SV90CFFMK)</t>
  </si>
  <si>
    <t>Cement Hop. Bellow_Silic_dia 205x400mm</t>
  </si>
  <si>
    <t>Screw Conveyor Bellow_Dia 224x500mm</t>
  </si>
  <si>
    <t>Asha Enterprise</t>
  </si>
  <si>
    <t>Rubber 'O' Ring 190 x 200 x 5mm Thk</t>
  </si>
  <si>
    <t>Bearing f. Take up Housing Uct 215</t>
  </si>
  <si>
    <t>BEARING _TAKE UP HOUSING_UCT210</t>
  </si>
  <si>
    <t>24-25/006</t>
  </si>
  <si>
    <t>Namrata Rubber Product Private Limited</t>
  </si>
  <si>
    <t>Red Silicone Pipe ID 174 x L 500 x Thk 3mm Part Number - 615698</t>
  </si>
  <si>
    <t>ROD END 20MM</t>
  </si>
  <si>
    <t>2024-25/12</t>
  </si>
  <si>
    <t>Om Packing &amp; Polymer</t>
  </si>
  <si>
    <t>PP SHEET WHITE COLOUR</t>
  </si>
  <si>
    <t>TOP PLATE</t>
  </si>
  <si>
    <t>b24-25AQ102</t>
  </si>
  <si>
    <t>OD 250 X 25 MM THK</t>
  </si>
  <si>
    <t>Cement Bellow_Dia330x200 lg_MT3.0</t>
  </si>
  <si>
    <t>BOTTOM PLATE</t>
  </si>
  <si>
    <t>Admixture Tank_15 ltrs</t>
  </si>
  <si>
    <t>Discharge hopper bellow_Dia605x600_MT3.0</t>
  </si>
  <si>
    <t>CA-23</t>
  </si>
  <si>
    <t>Krishna Paints and Sanitary</t>
  </si>
  <si>
    <t>BRASS NRV</t>
  </si>
  <si>
    <t>UPVC PIPE</t>
  </si>
  <si>
    <t>b24-25MQ103</t>
  </si>
  <si>
    <t>Computer Screen 19'' (Serial Number - SV90CBGEX), HDMI Cable, 4GB RAM</t>
  </si>
  <si>
    <t>UPVC PIPE 3MTR</t>
  </si>
  <si>
    <t>Bellow_butterfly-Valve_310x400mm</t>
  </si>
  <si>
    <t>Oficina De Serralharia</t>
  </si>
  <si>
    <t>PVC Pipe SS</t>
  </si>
  <si>
    <t>BELLOW F. water hopper MT 1.0 IBC</t>
  </si>
  <si>
    <t>I-C-1-24-460095</t>
  </si>
  <si>
    <t>Collective Trade Links Pvt Ltd</t>
  </si>
  <si>
    <t>000000POS20X1.5-CNZ000</t>
  </si>
  <si>
    <t>000000000UCT210-CNZ0000</t>
  </si>
  <si>
    <t>00000000UCT-215-CNZ0000</t>
  </si>
  <si>
    <t>b24-25AQ104</t>
  </si>
  <si>
    <t>Parul Corporation</t>
  </si>
  <si>
    <t>ACRYLIC PIPE 200 X 5 X 600 MM</t>
  </si>
  <si>
    <t>24-25/013</t>
  </si>
  <si>
    <t>Red Silicone Pipe ID 205 x L 400 x Thk 3mm Part Number - 630059</t>
  </si>
  <si>
    <t>Cement_Dust_BP60_Dia 150 flexible</t>
  </si>
  <si>
    <t>Red Silicone Pipe ID 500 x L 240 x Thk 3mm Part Number - 630059</t>
  </si>
  <si>
    <t>Red Silicone Pipe ID 224 x L 500 x Thk 3mm Part Number - 616026</t>
  </si>
  <si>
    <t>b24-25MQ105</t>
  </si>
  <si>
    <t>Water Bellow_BP60_Dia 170x300mm</t>
  </si>
  <si>
    <t>MRSI/05/2024-25</t>
  </si>
  <si>
    <t>M R Steel</t>
  </si>
  <si>
    <t>S S ROD STUD 720 MM LONG X 55 THERED</t>
  </si>
  <si>
    <t>Admixture Tank 30 Ltrs</t>
  </si>
  <si>
    <t>CA-32</t>
  </si>
  <si>
    <t>BRASS HOSE NIPPLE</t>
  </si>
  <si>
    <t>b24-25MQ106</t>
  </si>
  <si>
    <t>TEFLON TAPE</t>
  </si>
  <si>
    <t>Control Room Desk_1000x500x750</t>
  </si>
  <si>
    <t>24-25/017</t>
  </si>
  <si>
    <t>Red Silicone Pipe ID 605 x L 600 x Thk 3mm Part Number - 663094</t>
  </si>
  <si>
    <t>Screw conv. Bellow_Dia278x500lg_MT3.0</t>
  </si>
  <si>
    <t>Red Silicone Pipe ID 500 x L 240 x Thk 3mm Part Number - 616039</t>
  </si>
  <si>
    <t>b24-25AQ107</t>
  </si>
  <si>
    <t>PNJ/24-25/0240</t>
  </si>
  <si>
    <t>Monitor Lenovo D19-10 18.5'' HDMI (Serial Number - SV90CBGEX)</t>
  </si>
  <si>
    <t>b24-25MQ108</t>
  </si>
  <si>
    <t>PNJ242500509</t>
  </si>
  <si>
    <t>24-25/022</t>
  </si>
  <si>
    <t>Yashesh</t>
  </si>
  <si>
    <t>A K Traders</t>
  </si>
  <si>
    <t>Zoloto NRV 1'' Multi</t>
  </si>
  <si>
    <t>SPRAY NOZZLE D 12.6 120 DEG SS</t>
  </si>
  <si>
    <t>UPVC Elbow 1/2''</t>
  </si>
  <si>
    <t>UPVC MTA 1/2''</t>
  </si>
  <si>
    <t>b24-25MQ109</t>
  </si>
  <si>
    <t>UPVC Pipe 1''</t>
  </si>
  <si>
    <t>2.70 cms</t>
  </si>
  <si>
    <t>INDUSTRIAL BELL_225mm</t>
  </si>
  <si>
    <t>UPVC Pipe 1/2''</t>
  </si>
  <si>
    <t>0.30 cms</t>
  </si>
  <si>
    <t>24-25/028</t>
  </si>
  <si>
    <t>Red Silicone Pipe ID 170 x L 160 x Thk 3mm Part Number - 716663</t>
  </si>
  <si>
    <t>Red Silicone Pipe ID 310 x L 400 x Thk 3mm Part Number - 632215</t>
  </si>
  <si>
    <t>2024-25/123</t>
  </si>
  <si>
    <t>OD 350 X 25 MM THK</t>
  </si>
  <si>
    <t>I-C-1-24-460350</t>
  </si>
  <si>
    <t>000000POS20X1.5-CNZ0000</t>
  </si>
  <si>
    <t>VRC-065</t>
  </si>
  <si>
    <t>Vantage Rubber Co.</t>
  </si>
  <si>
    <t>Grey Duct Hose Pipe</t>
  </si>
  <si>
    <t>15 mtrs</t>
  </si>
  <si>
    <t>Rubber 'O' Ring 290 x 300 x 5mm thk</t>
  </si>
  <si>
    <t>Acrylic Pipe 300 / 5 / 500mm</t>
  </si>
  <si>
    <t>Brass Hose Nipple 1''</t>
  </si>
  <si>
    <t>24-25/070</t>
  </si>
  <si>
    <t>Red Silicone Pipe ID 278 x L 500 x Thk 3mm Part Number - 663093</t>
  </si>
  <si>
    <t>P/24-25/780</t>
  </si>
  <si>
    <t>Avon Computers</t>
  </si>
  <si>
    <t>CP PLUS 90 MTR 3+1 CCTV CABLE STANDARD(CP58)</t>
  </si>
  <si>
    <t>Panjim</t>
  </si>
  <si>
    <t>PLASTIC JUNCTION BOX FOR CCTV Brass Type (PJB1)</t>
  </si>
  <si>
    <t>BNC WIRE CONNECTOR (BNC02)</t>
  </si>
  <si>
    <t>168/2024-2025</t>
  </si>
  <si>
    <t>Max International</t>
  </si>
  <si>
    <t>225 MM INDL GONG BELL CAT NO 402</t>
  </si>
  <si>
    <t>24-25/073</t>
  </si>
  <si>
    <t>Red Silicone Pipe ID 170 x L 300 x Thk 3mm Part Number - 646872</t>
  </si>
  <si>
    <t>Spraynoz Technologies Private Limited</t>
  </si>
  <si>
    <t>Spiral full cone spray nozzles</t>
  </si>
  <si>
    <t>Flow rate: 39.85 GPM (+-10%)</t>
  </si>
  <si>
    <t>Pressure: 40 PSI</t>
  </si>
  <si>
    <t>Spray angle: 120o (+-5o)</t>
  </si>
  <si>
    <t>End connection size:3/4′′ BSP(M)</t>
  </si>
  <si>
    <t>M.O.C:SS304</t>
  </si>
  <si>
    <t>PNJ/24-25/0679</t>
  </si>
  <si>
    <t>CAM Dahua Bullet DA-HAC-B1A21P-0360B 2MP</t>
  </si>
  <si>
    <t>CAM Dahua Dome DH-HAC-T1A21P-0360B 2MP</t>
  </si>
  <si>
    <t>CAM Dahua Dome DH-HAC-T1A51P-A 5mp Wt Mic</t>
  </si>
  <si>
    <t>DVR Dahua 8ch DH-XVR4B08H-I</t>
  </si>
  <si>
    <t xml:space="preserve">                                                                                                                                                                                                                                 </t>
  </si>
  <si>
    <t>2024-25/2202</t>
  </si>
  <si>
    <t>Print House</t>
  </si>
  <si>
    <t>17-1 ZEBION MONITOR HDMI/VGA 16/5/24 P</t>
  </si>
  <si>
    <t>SEAGATE 2 TB SURVELLANCE HDD 3/5/24 P</t>
  </si>
  <si>
    <t>CP PLUS SMPS 10 AMP METAL 30/4/24 P</t>
  </si>
  <si>
    <t>POWER CORD</t>
  </si>
  <si>
    <t>R-MAX SPIKE GUARD 4 SOCKET 5 MTR 25/05/24</t>
  </si>
  <si>
    <t>P/24-25840</t>
  </si>
  <si>
    <t>CCTV WIRE DC CONNECTOR(65)</t>
  </si>
  <si>
    <t>2024=25/2310</t>
  </si>
  <si>
    <t>4 U RACK CP PLUS PDU (3 SOCKET) FAN + TRAY 20/4/24</t>
  </si>
  <si>
    <t>6 U RACK Startronix</t>
  </si>
  <si>
    <t>I-C-1-24-460845</t>
  </si>
  <si>
    <t>VRC-229</t>
  </si>
  <si>
    <t>Pvc Duct Hose 6''</t>
  </si>
  <si>
    <t>Pvc Duct Hose 10''</t>
  </si>
  <si>
    <t>24-25/097</t>
  </si>
  <si>
    <t>Red Silicone Pipe ID 330 x L 200 x Thk 3mm Part Number - 663092</t>
  </si>
  <si>
    <t>24-25/101</t>
  </si>
  <si>
    <t>I-C-1-24-461035</t>
  </si>
  <si>
    <t>I-C-1-24-461042</t>
  </si>
  <si>
    <t>24-25/112</t>
  </si>
  <si>
    <t>Dell Technologies</t>
  </si>
  <si>
    <t>Vostro Desktop 3710 (Serial Number (CPU - 1S8GB14, 1SDDB14, 1SDFB14, 1SDCB14, 1SBGB14, 11S9M24, J0S9M24, 98W8M24, DDBBM24, 21S9M24)</t>
  </si>
  <si>
    <t>Sir</t>
  </si>
  <si>
    <t>24-24/117</t>
  </si>
  <si>
    <t>KIG-INV2425-1069</t>
  </si>
  <si>
    <t>Kaamdhenu Infotrade Pvt Ltd</t>
  </si>
  <si>
    <t>DAHUA 32'' MONITOR DHI-LM32-F200 (Serial No - AB059D8PA1F191C)</t>
  </si>
  <si>
    <t>Yuashesh</t>
  </si>
  <si>
    <t>MRSI/59/2024-25</t>
  </si>
  <si>
    <t>S S ROD STUD 304 630 MM LONG X 55 THERED</t>
  </si>
  <si>
    <t>VM/3603/24-25</t>
  </si>
  <si>
    <t>V M Traders</t>
  </si>
  <si>
    <t>NUKR 47 A INA</t>
  </si>
  <si>
    <t>24-25/128</t>
  </si>
  <si>
    <t>24-25/201</t>
  </si>
  <si>
    <t>b24-25MQ201</t>
  </si>
  <si>
    <t>b24-25MQ204</t>
  </si>
  <si>
    <t>Screw Conveyor Bellow_Dia 224x4x500mm</t>
  </si>
  <si>
    <t>PC UPS</t>
  </si>
  <si>
    <t>Dates</t>
  </si>
  <si>
    <t>Reading</t>
  </si>
  <si>
    <t>KM</t>
  </si>
  <si>
    <t>Per KM</t>
  </si>
  <si>
    <t>Total To Pay</t>
  </si>
  <si>
    <t>02.11.2020</t>
  </si>
  <si>
    <t xml:space="preserve">Office to Old goa site </t>
  </si>
  <si>
    <t>04.11.2020</t>
  </si>
  <si>
    <t>Office to Mapusa site</t>
  </si>
  <si>
    <t>Putzmeister Concrete Machines Pvt. Ltd.</t>
  </si>
  <si>
    <t>DATE</t>
  </si>
  <si>
    <t xml:space="preserve">INVOICE NO </t>
  </si>
  <si>
    <t>CLIENT</t>
  </si>
  <si>
    <t xml:space="preserve">AMOUNT </t>
  </si>
  <si>
    <t>b20-21MQ209</t>
  </si>
  <si>
    <t>b20-21MQ214</t>
  </si>
  <si>
    <t>b20-21MQ215</t>
  </si>
  <si>
    <t>b20-21MQ217</t>
  </si>
  <si>
    <t>b20-21MQ218</t>
  </si>
  <si>
    <t>b20-21MQ219</t>
  </si>
  <si>
    <t>TOTAL PENDING PAYMENT</t>
  </si>
  <si>
    <t>VENDOR</t>
  </si>
  <si>
    <t>MODE OF PAYMENT</t>
  </si>
  <si>
    <t>CD/OD</t>
  </si>
  <si>
    <t>DATE OF PAYMENT</t>
  </si>
  <si>
    <t>STATUS</t>
  </si>
  <si>
    <t>VRC/202526/7</t>
  </si>
  <si>
    <t>NEFT</t>
  </si>
  <si>
    <t>CD</t>
  </si>
  <si>
    <t>Completed</t>
  </si>
  <si>
    <t>U Clean</t>
  </si>
  <si>
    <t>ME/2025-26/121</t>
  </si>
  <si>
    <t>Mahalaxmi Electricals</t>
  </si>
  <si>
    <t>OD</t>
  </si>
  <si>
    <t>SLH/15</t>
  </si>
  <si>
    <t xml:space="preserve">Shree laxmi lighting hub </t>
  </si>
  <si>
    <t>GSTN/25-26/103</t>
  </si>
  <si>
    <t>Omega Bath Solutions Pvt Ltd</t>
  </si>
  <si>
    <t>2000 paid advance 21600 remainiing to pay</t>
  </si>
  <si>
    <t>25-26/010</t>
  </si>
  <si>
    <t>Namrata Rubber Product Pvt Ltd</t>
  </si>
  <si>
    <t>New Goa Hardware</t>
  </si>
  <si>
    <t>I25-260190000018</t>
  </si>
  <si>
    <t>Digimro Distribution India Pvt Ltd</t>
  </si>
  <si>
    <t>Cheque</t>
  </si>
  <si>
    <t>Cheque on 19/5/25</t>
  </si>
  <si>
    <t>25-26/021</t>
  </si>
  <si>
    <t>16/4/25</t>
  </si>
  <si>
    <t>C-801 Campal Electricity Bill</t>
  </si>
  <si>
    <t>17/04/2025</t>
  </si>
  <si>
    <t>25-26/033</t>
  </si>
  <si>
    <t>17/4/25</t>
  </si>
  <si>
    <t>SLH/169</t>
  </si>
  <si>
    <t>22/4/25</t>
  </si>
  <si>
    <t>PAN917/25-26</t>
  </si>
  <si>
    <t>Microciti</t>
  </si>
  <si>
    <t>19/5/25</t>
  </si>
  <si>
    <t>24/4/25</t>
  </si>
  <si>
    <t>25-26/044</t>
  </si>
  <si>
    <t>I-C-125-470460</t>
  </si>
  <si>
    <t>25/4/25</t>
  </si>
  <si>
    <t>AE2526027</t>
  </si>
  <si>
    <t>M/s. Arhat Enterprises</t>
  </si>
  <si>
    <t>26/4/25</t>
  </si>
  <si>
    <t>114 Electricity Bill</t>
  </si>
  <si>
    <t>112 Electricity Bill</t>
  </si>
  <si>
    <t>113  Electricity Bill</t>
  </si>
  <si>
    <t>29/4/25</t>
  </si>
  <si>
    <t>AE2526029</t>
  </si>
  <si>
    <t>VRC/2025-26/171</t>
  </si>
  <si>
    <t>VRL Logistics Ltd</t>
  </si>
  <si>
    <t>I25-261060000616</t>
  </si>
  <si>
    <t>14/6/25</t>
  </si>
  <si>
    <t>PAN1450/25-26</t>
  </si>
  <si>
    <t>PNJ/25-26/0234</t>
  </si>
  <si>
    <t>Hatley Sales And Services</t>
  </si>
  <si>
    <t>UP-747968203</t>
  </si>
  <si>
    <t>Amazon</t>
  </si>
  <si>
    <t>App pay by sir</t>
  </si>
  <si>
    <t>15/5/25</t>
  </si>
  <si>
    <t>25-26/081</t>
  </si>
  <si>
    <t>16/5/25</t>
  </si>
  <si>
    <t>Sai Vailankanni</t>
  </si>
  <si>
    <t xml:space="preserve">Gpay </t>
  </si>
  <si>
    <t>Lalji Mulji Transport</t>
  </si>
  <si>
    <t>21/5/25</t>
  </si>
  <si>
    <t>24/5/25</t>
  </si>
  <si>
    <t>Sand (REV) 10 bags from local</t>
  </si>
  <si>
    <t>Mars Supermarket</t>
  </si>
  <si>
    <t>Pcash</t>
  </si>
  <si>
    <t>28/5/25</t>
  </si>
  <si>
    <t>CA-1088</t>
  </si>
  <si>
    <t>Krishna Paints And Sanitary</t>
  </si>
  <si>
    <t>28/6/25</t>
  </si>
  <si>
    <t>I-C-1-25-471178</t>
  </si>
  <si>
    <t>Collective Trade Links Pvt. Ltd.</t>
  </si>
  <si>
    <t>25-26/131</t>
  </si>
  <si>
    <t>NTS Logistics</t>
  </si>
  <si>
    <t>PAN2743/25-26</t>
  </si>
  <si>
    <t>PNJ/25-26/0440</t>
  </si>
  <si>
    <t>Hatley sales and services</t>
  </si>
  <si>
    <t>13/6/25</t>
  </si>
  <si>
    <t>GST/2025-26/411</t>
  </si>
  <si>
    <t>Crown Electronics</t>
  </si>
  <si>
    <t>16/6/25</t>
  </si>
  <si>
    <t>25-26/142</t>
  </si>
  <si>
    <t>20/6/25</t>
  </si>
  <si>
    <t>25-26/165</t>
  </si>
  <si>
    <t>2 qty damaged 616039</t>
  </si>
  <si>
    <t>23/6/25</t>
  </si>
  <si>
    <t>25/06/25</t>
  </si>
  <si>
    <t>26/6/25</t>
  </si>
  <si>
    <t>25-26/174</t>
  </si>
  <si>
    <t>2 qty damaged 780236</t>
  </si>
  <si>
    <t>27/6/25</t>
  </si>
  <si>
    <t>B202502489</t>
  </si>
  <si>
    <t xml:space="preserve">Alcon hyundai </t>
  </si>
  <si>
    <t>27/6/25 - rs10000/- GPAY &amp;28/6/25- rs 7291/- NEFT</t>
  </si>
  <si>
    <t>30/6/25</t>
  </si>
  <si>
    <t>credit note</t>
  </si>
  <si>
    <t>don’t pay this bill</t>
  </si>
  <si>
    <t xml:space="preserve">Atmaram </t>
  </si>
  <si>
    <t>Debojit</t>
  </si>
  <si>
    <t xml:space="preserve">sai vailankanni </t>
  </si>
  <si>
    <t>25-26/972</t>
  </si>
  <si>
    <t>Goa Electric Store</t>
  </si>
  <si>
    <t>I-C-1-25-471720</t>
  </si>
  <si>
    <t>PAN3783/25-26</t>
  </si>
  <si>
    <t xml:space="preserve">TAXABLE AMOUNT </t>
  </si>
  <si>
    <t>IGST</t>
  </si>
  <si>
    <t>SGST</t>
  </si>
  <si>
    <t>CGST</t>
  </si>
  <si>
    <t>TOTAL AMOUNT</t>
  </si>
  <si>
    <t>Vantage 103</t>
  </si>
  <si>
    <t>15M</t>
  </si>
  <si>
    <t>22/04/2024</t>
  </si>
  <si>
    <t>Collective 107</t>
  </si>
  <si>
    <t>UCT-215</t>
  </si>
  <si>
    <t>Nmarata 108</t>
  </si>
  <si>
    <t>Silicone Red  Pipe id 170 x long 160 x 3mm</t>
  </si>
  <si>
    <t>Silicone Red  Pipe id 605 x long 600 x 3mm</t>
  </si>
  <si>
    <t>Silicone Red  Pipe id 310 x long 400 x 3mm</t>
  </si>
  <si>
    <t>23/04/2024</t>
  </si>
  <si>
    <t>Asha Enterprises 109</t>
  </si>
  <si>
    <t>Rubber o ring 5mm thick 300mm od 290mm id</t>
  </si>
  <si>
    <t>April</t>
  </si>
  <si>
    <t>NT86/54</t>
  </si>
  <si>
    <t>Gpay by sir</t>
  </si>
  <si>
    <t>May</t>
  </si>
  <si>
    <t xml:space="preserve">TOTAL PAYMENT MADE </t>
  </si>
  <si>
    <t>Remaining to pay</t>
  </si>
  <si>
    <t>TDS CUT</t>
  </si>
  <si>
    <t>Remark</t>
  </si>
  <si>
    <t>b24-25AQ117</t>
  </si>
  <si>
    <t>ELSHADDHAI 117</t>
  </si>
  <si>
    <t>b24-25AQ204</t>
  </si>
  <si>
    <t>ELSHADDHAI 204</t>
  </si>
  <si>
    <t>b24-25MQ207</t>
  </si>
  <si>
    <t>Putzmeister Concrete Machines Pvt Ltd</t>
  </si>
  <si>
    <t>18/10/24</t>
  </si>
  <si>
    <t>b24-25Q307</t>
  </si>
  <si>
    <t>Create</t>
  </si>
  <si>
    <t xml:space="preserve">           149555.00</t>
  </si>
  <si>
    <t>Khorlim Praneel P401</t>
  </si>
  <si>
    <t>Pranil Khorlim</t>
  </si>
  <si>
    <t>bal left 13752</t>
  </si>
  <si>
    <t>GST amount not received</t>
  </si>
  <si>
    <t>b25-26Q101</t>
  </si>
  <si>
    <t>b25-26Q102</t>
  </si>
  <si>
    <t>14/05/2025</t>
  </si>
  <si>
    <t>Complete</t>
  </si>
  <si>
    <t>b25-26Q103</t>
  </si>
  <si>
    <t>23/4/25</t>
  </si>
  <si>
    <t>b225-26Q104</t>
  </si>
  <si>
    <t>b25-26Q105</t>
  </si>
  <si>
    <t>20/04/2025</t>
  </si>
  <si>
    <t>b25-26Q106</t>
  </si>
  <si>
    <t>b25-26Q107</t>
  </si>
  <si>
    <t>b25-26Q108</t>
  </si>
  <si>
    <t>M25-26Q109</t>
  </si>
  <si>
    <t>M25-26Q110</t>
  </si>
  <si>
    <t>M25-26Q111</t>
  </si>
  <si>
    <t>M25-26Q112</t>
  </si>
  <si>
    <t>A25-26Q113</t>
  </si>
  <si>
    <t>M25-26Q114</t>
  </si>
  <si>
    <t>A25-26Q115</t>
  </si>
  <si>
    <t>Taken by</t>
  </si>
  <si>
    <t>Received from</t>
  </si>
  <si>
    <t>Purpose</t>
  </si>
  <si>
    <t>Amount Received</t>
  </si>
  <si>
    <t>Amount Withdrawn</t>
  </si>
  <si>
    <t>Balance</t>
  </si>
  <si>
    <t>Petty Cash</t>
  </si>
  <si>
    <t>/5/25</t>
  </si>
  <si>
    <t>Anita sweepers payment</t>
  </si>
  <si>
    <t>Drinking water bottel</t>
  </si>
  <si>
    <t>20 green Legal size papers</t>
  </si>
  <si>
    <t>Shublaxmi sale deed copy</t>
  </si>
  <si>
    <t>Kamla sweepers payment</t>
  </si>
  <si>
    <t>11.jun.25</t>
  </si>
  <si>
    <t>4 pens and 1 black marker</t>
  </si>
  <si>
    <t xml:space="preserve">2 Adhesive stamp 5 rs </t>
  </si>
  <si>
    <t>SR. NO.</t>
  </si>
  <si>
    <t>MATERIAL OUT DATE</t>
  </si>
  <si>
    <t>Material</t>
  </si>
  <si>
    <t>Quantity</t>
  </si>
  <si>
    <t>location</t>
  </si>
  <si>
    <t>RETURNABLE</t>
  </si>
  <si>
    <t>Turpentine</t>
  </si>
  <si>
    <t>A1</t>
  </si>
  <si>
    <t>Fevicol Adhesive</t>
  </si>
  <si>
    <t>Door Jointer</t>
  </si>
  <si>
    <t>W Tour Premiem Ball</t>
  </si>
  <si>
    <t>Chroma 27 no key</t>
  </si>
  <si>
    <t>CP Plus push sticker</t>
  </si>
  <si>
    <t>CP Plus pull sticker</t>
  </si>
  <si>
    <t>Dahua round sticker</t>
  </si>
  <si>
    <t>Fan side holder</t>
  </si>
  <si>
    <t>SF Sonic warranty card (Battery)</t>
  </si>
  <si>
    <t>Blues TM</t>
  </si>
  <si>
    <t>ADI Global Pen</t>
  </si>
  <si>
    <t>Screw with grip</t>
  </si>
  <si>
    <t>Durace;; AAA Battery</t>
  </si>
  <si>
    <t>A2</t>
  </si>
  <si>
    <t>Feviseal Silicon</t>
  </si>
  <si>
    <t>A3</t>
  </si>
  <si>
    <t>Bisleri 20 Ltr Dispense Cap</t>
  </si>
  <si>
    <t>WD 40 32g</t>
  </si>
  <si>
    <t>Gold CPVC Yewllow Fast Setting</t>
  </si>
  <si>
    <t>Glass Like Object</t>
  </si>
  <si>
    <t>Cipla Adgain Capsules</t>
  </si>
  <si>
    <t>Match Box</t>
  </si>
  <si>
    <t>Roll Keys</t>
  </si>
  <si>
    <t>Mouse</t>
  </si>
  <si>
    <t>Edcon Material</t>
  </si>
  <si>
    <t>A5</t>
  </si>
  <si>
    <t>Empty Boxes</t>
  </si>
  <si>
    <t>Organizer Box Desktop</t>
  </si>
  <si>
    <t>WBOX 5 MP Lite Camera HD Outdoor IR Bullet</t>
  </si>
  <si>
    <t>WBOX HD Output Cable Bare Copper 15M</t>
  </si>
  <si>
    <t>MX HDMI Cable 3 mtr</t>
  </si>
  <si>
    <t>WBOX 5MP Lite outdoor IR Dome Camera</t>
  </si>
  <si>
    <t>Protek systems 5MPS 12volt</t>
  </si>
  <si>
    <t>Exhast fan</t>
  </si>
  <si>
    <t>E1</t>
  </si>
  <si>
    <t>Power Cable 5 Amps</t>
  </si>
  <si>
    <t>Power Cable 15 Amps</t>
  </si>
  <si>
    <t>DUI Cable</t>
  </si>
  <si>
    <t>Printer Cable</t>
  </si>
  <si>
    <t>HDMI</t>
  </si>
  <si>
    <t>Microtek Cable 15</t>
  </si>
  <si>
    <t>Legrand VDP monitor</t>
  </si>
  <si>
    <t>NTW Rack Cable rails</t>
  </si>
  <si>
    <t>MS Clamp 320</t>
  </si>
  <si>
    <t>W Box 2 U Rack</t>
  </si>
  <si>
    <t>Above E2</t>
  </si>
  <si>
    <t>Glass End Profile</t>
  </si>
  <si>
    <t>Above D1</t>
  </si>
  <si>
    <t>Bending Wire</t>
  </si>
  <si>
    <t>Above D7</t>
  </si>
  <si>
    <t>Cat 6</t>
  </si>
  <si>
    <t>1 roll</t>
  </si>
  <si>
    <t>Below E2</t>
  </si>
  <si>
    <t>Belln (Good Packed)</t>
  </si>
  <si>
    <t>D7</t>
  </si>
  <si>
    <t>Asian PU Primer</t>
  </si>
  <si>
    <t>1 Ltr</t>
  </si>
  <si>
    <t>D2</t>
  </si>
  <si>
    <t xml:space="preserve">Screw   </t>
  </si>
  <si>
    <t>Above E1</t>
  </si>
  <si>
    <t>40 W Switch</t>
  </si>
  <si>
    <t>Mounting Box</t>
  </si>
  <si>
    <t>Mounting bracket</t>
  </si>
  <si>
    <t>Strap</t>
  </si>
  <si>
    <t>Ancor Fastner</t>
  </si>
  <si>
    <t>Mounting Screw</t>
  </si>
  <si>
    <t>Cable Tie</t>
  </si>
  <si>
    <t>Time Attendence Connector Cable</t>
  </si>
  <si>
    <t>Transparent bellow 100 mm sample</t>
  </si>
  <si>
    <t>CCTV Cable Cut pieces</t>
  </si>
  <si>
    <t>Small casing patti about 3m</t>
  </si>
  <si>
    <t>Above E1 and E2</t>
  </si>
  <si>
    <t>Nuts</t>
  </si>
  <si>
    <t>Behind</t>
  </si>
  <si>
    <t>Philips Trimmer with charger cord</t>
  </si>
  <si>
    <t>Power Adaptor</t>
  </si>
  <si>
    <t>Cam Follwer Bearing</t>
  </si>
  <si>
    <t>MNB Linear Moption Ball Bearing</t>
  </si>
  <si>
    <t>MDT KNX Building Automation Pricelist Boklet</t>
  </si>
  <si>
    <t>Panasonic KNX Multi Functional Switch</t>
  </si>
  <si>
    <t>MDT AKD 4010V.02 Dimming Actuator 4 Fold</t>
  </si>
  <si>
    <t>Mornsun MCB</t>
  </si>
  <si>
    <t>Panasonic KNX Power Supply TP 640MA</t>
  </si>
  <si>
    <t>Zennio 24I Pro Touch Panel</t>
  </si>
  <si>
    <t>Dlink Plate</t>
  </si>
  <si>
    <t>Dlink Cat 6 connecting hardware</t>
  </si>
  <si>
    <t>Hikvision 32 ch DVR</t>
  </si>
  <si>
    <t>Dahua 32 Ch DVR</t>
  </si>
  <si>
    <t>I Catch 16 Ch DVR</t>
  </si>
  <si>
    <t>CP Plus 8 Ch DVR</t>
  </si>
  <si>
    <t>Tatasky Box HD</t>
  </si>
  <si>
    <t>Numeric UPS</t>
  </si>
  <si>
    <t>12 volt Battery</t>
  </si>
  <si>
    <t>Protek 4 Ch Camera 5 mps</t>
  </si>
  <si>
    <t>Enter 8 Ch 5 mps</t>
  </si>
  <si>
    <t>Dell Monitor</t>
  </si>
  <si>
    <t>16 AMP Power Cord</t>
  </si>
  <si>
    <t>DVD CD</t>
  </si>
  <si>
    <t>Seagate HDD 1 TB</t>
  </si>
  <si>
    <t>Monitor Stand</t>
  </si>
  <si>
    <t>Admixture Jar Plate</t>
  </si>
  <si>
    <t>Tape 15 mtrs</t>
  </si>
  <si>
    <t>Multi tool with chamer</t>
  </si>
  <si>
    <t>Araldite</t>
  </si>
  <si>
    <t>16 Amp Board</t>
  </si>
  <si>
    <t>Plair</t>
  </si>
  <si>
    <t>Wire cutter</t>
  </si>
  <si>
    <t>Light point</t>
  </si>
  <si>
    <t>Steel nut</t>
  </si>
  <si>
    <t>Model Box</t>
  </si>
  <si>
    <t>CP Plus DVR 16 Ch</t>
  </si>
  <si>
    <t>Battery Cable</t>
  </si>
  <si>
    <t>Sparsh Halogen Light</t>
  </si>
  <si>
    <t>Catchwell HD Transmitter</t>
  </si>
  <si>
    <t>Dahua stand</t>
  </si>
  <si>
    <t>Industrial Bell</t>
  </si>
  <si>
    <t>Legrand Plate</t>
  </si>
  <si>
    <t>2 pin with cable</t>
  </si>
  <si>
    <t>Bellow scrap</t>
  </si>
  <si>
    <t>4 Ch NVR W Box</t>
  </si>
  <si>
    <t>Stud</t>
  </si>
  <si>
    <t>W Box DVR 8 Ch</t>
  </si>
  <si>
    <t>E2</t>
  </si>
  <si>
    <t>W Box 2 MP Dome Camera</t>
  </si>
  <si>
    <t>Capture 2 mp camera</t>
  </si>
  <si>
    <t>Honeywell 2 mp camera</t>
  </si>
  <si>
    <t>Digisol Router 1 set</t>
  </si>
  <si>
    <t>W Box Colour Door Phone</t>
  </si>
  <si>
    <t>HDMI Extender by CAT-SC / 6 Cable</t>
  </si>
  <si>
    <t>Capture Vandal Proof Dome Camera</t>
  </si>
  <si>
    <t>Audiotrack Ceiling Speaker</t>
  </si>
  <si>
    <t>Cecurio 7" Video Door Phone</t>
  </si>
  <si>
    <t>Ultima Computer Cable 5 mtrs</t>
  </si>
  <si>
    <t>Ultima Computer Cable 3 mtrs</t>
  </si>
  <si>
    <t>Samsung Dome Camera</t>
  </si>
  <si>
    <t>HDMI Extender by CAT-616 E Cable</t>
  </si>
  <si>
    <t>Digisol Comfi</t>
  </si>
  <si>
    <t>Honeywell 6W ceiling loud speaker</t>
  </si>
  <si>
    <t>Protek AC power supply</t>
  </si>
  <si>
    <t>Protek system 5MPS</t>
  </si>
  <si>
    <t>CNB Colour Video Camera</t>
  </si>
  <si>
    <t>Dlink Router</t>
  </si>
  <si>
    <t>Vista Honeywell Camera</t>
  </si>
  <si>
    <t>W Box E - Series Rim Locak</t>
  </si>
  <si>
    <t>Texecom Sensor</t>
  </si>
  <si>
    <t>MK Surface Ceiling Pirsensor</t>
  </si>
  <si>
    <t>Dlink Dome Camera</t>
  </si>
  <si>
    <t>Hikvision Dome Camera</t>
  </si>
  <si>
    <t>Lumax Tractoe Lamps</t>
  </si>
  <si>
    <t>Taparia Digital Tester</t>
  </si>
  <si>
    <t>JBL Ceiling Loudspeaker</t>
  </si>
  <si>
    <t>5 Amps Power Cord</t>
  </si>
  <si>
    <t>CP Plus 3 + 1 cable</t>
  </si>
  <si>
    <t>63 mtrs</t>
  </si>
  <si>
    <t>Catchwell HDMI Booster TxRx</t>
  </si>
  <si>
    <t>Mighty Bond MB108</t>
  </si>
  <si>
    <t>Sanjay School Box (Monitor Stand)</t>
  </si>
  <si>
    <t>Sanjay School Box (Patch cable)</t>
  </si>
  <si>
    <t>Sanjay School Box (Remote)</t>
  </si>
  <si>
    <t>Sanjay School; Box (Green pin)</t>
  </si>
  <si>
    <t>Electronic Lock</t>
  </si>
  <si>
    <t>Securro shutter onput</t>
  </si>
  <si>
    <t>HDD</t>
  </si>
  <si>
    <t>ADDA DC brushes fan</t>
  </si>
  <si>
    <t>E5</t>
  </si>
  <si>
    <t>W Box HDMI Cable 15 Mtr</t>
  </si>
  <si>
    <t>DC Connector</t>
  </si>
  <si>
    <t>Securi Co</t>
  </si>
  <si>
    <t>W Box DC 12V 2A Power Supply</t>
  </si>
  <si>
    <t>4CH 5MP Lite W Box</t>
  </si>
  <si>
    <t>MDT Dimmer</t>
  </si>
  <si>
    <t>Drill Bit 18mm</t>
  </si>
  <si>
    <t>Chair Position Adjustor</t>
  </si>
  <si>
    <t>Samsung LED Driver 5W</t>
  </si>
  <si>
    <t>Harddisk Skywawk 2TB</t>
  </si>
  <si>
    <t>Scrap</t>
  </si>
  <si>
    <t>BNC Connector</t>
  </si>
  <si>
    <t>BNC 2 pin connector</t>
  </si>
  <si>
    <t>Satta Cable</t>
  </si>
  <si>
    <t>RJ 45 patch cord</t>
  </si>
  <si>
    <t>Rubber oring</t>
  </si>
  <si>
    <t>VJA Cable</t>
  </si>
  <si>
    <t>4x4 box</t>
  </si>
  <si>
    <t xml:space="preserve">Tape  </t>
  </si>
  <si>
    <t>Below E1</t>
  </si>
  <si>
    <t>Marker</t>
  </si>
  <si>
    <t>Pen</t>
  </si>
  <si>
    <t>Cutter</t>
  </si>
  <si>
    <t>Mesure Tape</t>
  </si>
  <si>
    <t>Scale</t>
  </si>
  <si>
    <t>Plastic</t>
  </si>
  <si>
    <t>Tool Box</t>
  </si>
  <si>
    <t>Digital Scale</t>
  </si>
  <si>
    <t>Screw driver set</t>
  </si>
  <si>
    <t>Plates</t>
  </si>
  <si>
    <t xml:space="preserve">Bellow  </t>
  </si>
  <si>
    <t>17x10 box</t>
  </si>
  <si>
    <t>1 TB HDD</t>
  </si>
  <si>
    <t>4+2 POE Giga Switch</t>
  </si>
  <si>
    <t>Dahua 2MP IP Bullet Camera</t>
  </si>
  <si>
    <t>Epson Ink</t>
  </si>
  <si>
    <t>KNX Cable</t>
  </si>
  <si>
    <t>Car</t>
  </si>
  <si>
    <t>30/10/24</t>
  </si>
  <si>
    <t xml:space="preserve">IR Bullet Network Camera </t>
  </si>
  <si>
    <t>Tool in White Plastic</t>
  </si>
  <si>
    <t>20/11/24</t>
  </si>
  <si>
    <t>Speaker Wire Purple Colour</t>
  </si>
  <si>
    <t>out to site</t>
  </si>
  <si>
    <t>Gigabit POE Switch</t>
  </si>
  <si>
    <t>Enclosures</t>
  </si>
  <si>
    <t>Part no. 716663</t>
  </si>
  <si>
    <t>Putz</t>
  </si>
  <si>
    <t>out</t>
  </si>
  <si>
    <t>Part no. 616039</t>
  </si>
  <si>
    <t>Namrata</t>
  </si>
  <si>
    <t>OUT</t>
  </si>
  <si>
    <t>Water Proofing Tape</t>
  </si>
  <si>
    <t>Belden</t>
  </si>
  <si>
    <t>Faruk Side</t>
  </si>
  <si>
    <t>Kohler</t>
  </si>
  <si>
    <t>Cromton Luminaires box</t>
  </si>
  <si>
    <t>Jindai box</t>
  </si>
  <si>
    <t>Part no. 630059</t>
  </si>
  <si>
    <t>Storage area</t>
  </si>
  <si>
    <t>17/12/2024</t>
  </si>
  <si>
    <t>Purple HHD</t>
  </si>
  <si>
    <t>Laundry (by stanley)</t>
  </si>
  <si>
    <t>Laundry SITE</t>
  </si>
  <si>
    <t>File Type</t>
  </si>
  <si>
    <t>Finances</t>
  </si>
  <si>
    <t>B2</t>
  </si>
  <si>
    <t>Joining letter</t>
  </si>
  <si>
    <t>Gomeco Hsh Society</t>
  </si>
  <si>
    <t>Gera Imperium Green</t>
  </si>
  <si>
    <t>Ethernet Express</t>
  </si>
  <si>
    <t>Real Estatate developers</t>
  </si>
  <si>
    <t>Hyundai creta</t>
  </si>
  <si>
    <t>GST FILE</t>
  </si>
  <si>
    <t>Purchase April 2024 TOMarch 2025</t>
  </si>
  <si>
    <t>Z1 LEFT</t>
  </si>
  <si>
    <t>Purchase October 2023 TO March 2024</t>
  </si>
  <si>
    <t>PurchaseApril 2023 TO March 2024</t>
  </si>
  <si>
    <t>Z1 RIGHT</t>
  </si>
  <si>
    <t>Sales April 2024 TO March 2025</t>
  </si>
  <si>
    <t>Sales April 2023 TO March 2024</t>
  </si>
  <si>
    <t>Sales April 2022 TO March 2023</t>
  </si>
  <si>
    <t>Z2 LEFT</t>
  </si>
  <si>
    <t>Purchase  April 2022- 10 Sept 2022</t>
  </si>
  <si>
    <t>Amoolya Rubber Industry</t>
  </si>
  <si>
    <t>Collective trade</t>
  </si>
  <si>
    <t>ADI</t>
  </si>
  <si>
    <t>Z2 RIGHT</t>
  </si>
  <si>
    <t>Petrol Bills</t>
  </si>
  <si>
    <t>HR File</t>
  </si>
  <si>
    <t>Purchase October TO March 2023</t>
  </si>
  <si>
    <t>Dell File</t>
  </si>
  <si>
    <t>Z3 LEFT</t>
  </si>
  <si>
    <t>Purchase April 2021 TO March 2022</t>
  </si>
  <si>
    <t>Purchase October 2020 TO Jan 2021</t>
  </si>
  <si>
    <t>Purchase Bills April 2020 TO Sept 2020</t>
  </si>
  <si>
    <t>July 2021 to Dec 2021</t>
  </si>
  <si>
    <t>Sales 2020-2021</t>
  </si>
  <si>
    <t xml:space="preserve"> Sales April 2021 TO  March 2022</t>
  </si>
  <si>
    <t>Z3 RIGHT</t>
  </si>
  <si>
    <t>Quotation April TO March 2022</t>
  </si>
  <si>
    <t>JAN 2022 TO March 2022</t>
  </si>
  <si>
    <t>Comoany Document</t>
  </si>
  <si>
    <t>Company Bills</t>
  </si>
  <si>
    <t>Cash Bills</t>
  </si>
  <si>
    <t>Namrata Rubber PrOducts</t>
  </si>
  <si>
    <t>Prithvi IT Products</t>
  </si>
  <si>
    <t>Inigran Micro India</t>
  </si>
  <si>
    <t>Feb 2021 to March 2023</t>
  </si>
  <si>
    <t xml:space="preserve">Sr.no </t>
  </si>
  <si>
    <t>Part no.</t>
  </si>
  <si>
    <t>Description</t>
  </si>
  <si>
    <t>Price</t>
  </si>
  <si>
    <t>Phone no.</t>
  </si>
  <si>
    <t>Email ID</t>
  </si>
  <si>
    <t>Sales Price</t>
  </si>
  <si>
    <t>BELLOW F. water hopper MT1.0 IBC</t>
  </si>
  <si>
    <t xml:space="preserve">Namrata </t>
  </si>
  <si>
    <t>Namrata main no.</t>
  </si>
  <si>
    <t>Cement Bellow_Dia330x200lg_MT3.0</t>
  </si>
  <si>
    <t>Water Bellow_BP60_Dia 170x4x300mm</t>
  </si>
  <si>
    <t>Trupti</t>
  </si>
  <si>
    <t>Water Bellow_Dia173x200 lg_MT3.0</t>
  </si>
  <si>
    <t>5400/6000</t>
  </si>
  <si>
    <t>Screw Conveyor Bellow_Dia174x4x500mm</t>
  </si>
  <si>
    <t>Screw Conveyor Bellow_Dia224x4x500mm</t>
  </si>
  <si>
    <t>Cement Hop. Bellow_Silic_dia 205x4x400mm</t>
  </si>
  <si>
    <t>Dell OptiPlex 3080 Tower</t>
  </si>
  <si>
    <t>Discharge Chute Bellow_Dia 500x4x240mm</t>
  </si>
  <si>
    <t>Bellow_Butterfly-Valve_31 0x4x400mm</t>
  </si>
  <si>
    <t>Discharge chute bellow Ø500x4x500</t>
  </si>
  <si>
    <t>Bellow Butterfly-Valve 310x4x290mm</t>
  </si>
  <si>
    <t>Cement dust collector bellow dia245mm</t>
  </si>
  <si>
    <t>Bearing f. Take up Housing UCT 215</t>
  </si>
  <si>
    <t>CNZ</t>
  </si>
  <si>
    <t>BEARING_TAKE UP HOUSING_UCT210</t>
  </si>
  <si>
    <t>DUSTFILTR BP60 DIA250mm FLEXIBLE</t>
  </si>
  <si>
    <t>Cement_Dust_BP60_Dia 150flexible</t>
  </si>
  <si>
    <t>Rollling bearing NUKR47</t>
  </si>
  <si>
    <t xml:space="preserve">Spraynoz Technologies </t>
  </si>
  <si>
    <t>Computer Screen 19", HDMICable, 4GB RAM</t>
  </si>
  <si>
    <t>Dell</t>
  </si>
  <si>
    <t>Control Room Desk_1000×500×750</t>
  </si>
  <si>
    <t>Nilkand/ AI Furniture</t>
  </si>
  <si>
    <t>Dia 150mm flexible grey PVC hose f. PRV</t>
  </si>
  <si>
    <t>Vantage</t>
  </si>
  <si>
    <t>vantagerubber@yahoo.co.in</t>
  </si>
  <si>
    <t>Ingram/ Delta</t>
  </si>
  <si>
    <t>Monochrom laserjet printerCanonLBP6030BJ</t>
  </si>
  <si>
    <t>Prithvi/Jushi</t>
  </si>
  <si>
    <t>Clamp for BP bellow Dia 310mm</t>
  </si>
  <si>
    <t>Vantage/ Local</t>
  </si>
  <si>
    <t>PP Sheet White Colour Top Plate OD 350 x  25mm THK</t>
  </si>
  <si>
    <t xml:space="preserve">Om package </t>
  </si>
  <si>
    <t>PP Sheet White Colour Bottom Plate OD 350 x  25mm THK</t>
  </si>
  <si>
    <t>Acrylic Pipe clear transparent size 300mm x 5mm x 500mm</t>
  </si>
  <si>
    <t>S S STUD 304 630mm long m12 (12mm thick) stud with Threading on both sides 55 mm with nuts and 2 washers</t>
  </si>
  <si>
    <t xml:space="preserve">M R Steel </t>
  </si>
  <si>
    <t>Spray Nozel with flow capacity GPM at 40 PSI should be 39.85  presure bar should be maintained as per attachemnt</t>
  </si>
  <si>
    <t xml:space="preserve">Asha Enterprises </t>
  </si>
  <si>
    <t>Control Room Desk Leo</t>
  </si>
  <si>
    <t>A1 Furniture</t>
  </si>
  <si>
    <t xml:space="preserve">Vostro Desktop 3710                                                                                                                                                        </t>
  </si>
  <si>
    <t xml:space="preserve"> Dell 22 Monitor - E2222H</t>
  </si>
  <si>
    <t>NRV Valv</t>
  </si>
  <si>
    <t>AK Traders</t>
  </si>
  <si>
    <t>Control Room Spike Board</t>
  </si>
  <si>
    <t>Hatley</t>
  </si>
  <si>
    <t>Book</t>
  </si>
  <si>
    <t>10 reamaing to pay debojit</t>
  </si>
  <si>
    <t>65 rs book</t>
  </si>
  <si>
    <t>sir</t>
  </si>
  <si>
    <t>M25-26Q201</t>
  </si>
  <si>
    <t>A25-26Q202</t>
  </si>
  <si>
    <t>14.7.25</t>
  </si>
  <si>
    <t>14/7/25</t>
  </si>
  <si>
    <t>Dish washer 2 qty</t>
  </si>
  <si>
    <t>Debojit expense</t>
  </si>
  <si>
    <t>15/7/25</t>
  </si>
  <si>
    <t>PI</t>
  </si>
  <si>
    <t>18/7/25</t>
  </si>
  <si>
    <t>Debojit expense (tap)</t>
  </si>
  <si>
    <t>23/7/25</t>
  </si>
  <si>
    <t>Atmaram</t>
  </si>
  <si>
    <t xml:space="preserve">Gpay by sir </t>
  </si>
  <si>
    <t>24/7/25</t>
  </si>
  <si>
    <t>Microtek Distil water</t>
  </si>
  <si>
    <t>Uclean</t>
  </si>
  <si>
    <t>17/7/25</t>
  </si>
  <si>
    <t>Spraynoz Technologies pvt ltd</t>
  </si>
  <si>
    <t>Cheque on 9/8/25</t>
  </si>
  <si>
    <t>28/7/25</t>
  </si>
  <si>
    <t>26/7/25</t>
  </si>
  <si>
    <t>AE2526093</t>
  </si>
  <si>
    <t>31.7.25</t>
  </si>
  <si>
    <t>25-26/237</t>
  </si>
  <si>
    <t>2.8.25</t>
  </si>
  <si>
    <t>A25-26Q203</t>
  </si>
  <si>
    <t>M25-26Q204</t>
  </si>
  <si>
    <t>M25-26Q205</t>
  </si>
  <si>
    <t>VRC/2025-26/600</t>
  </si>
  <si>
    <t>VRC/2025-26/604</t>
  </si>
  <si>
    <t>CD-3167002097 CHEQUE DETAILS</t>
  </si>
  <si>
    <t>CHEQUE NO.</t>
  </si>
  <si>
    <t>PAYEE</t>
  </si>
  <si>
    <t>WITHDRAWAL</t>
  </si>
  <si>
    <t>DEPOSIT</t>
  </si>
  <si>
    <t xml:space="preserve">DATE MENTIONED </t>
  </si>
  <si>
    <t>BALANCE</t>
  </si>
  <si>
    <t>REMARK</t>
  </si>
  <si>
    <t>19/4/25</t>
  </si>
  <si>
    <t>Yourself NEFT</t>
  </si>
  <si>
    <t>14/5/25</t>
  </si>
  <si>
    <t>Cancelled</t>
  </si>
  <si>
    <t>21/7/25</t>
  </si>
  <si>
    <t>Edcon Real Estate Developers</t>
  </si>
  <si>
    <t>Edcon Real Estate Developers (maintainance)</t>
  </si>
  <si>
    <t>Towards House Tax to PVIBG Pvt Ltd</t>
  </si>
  <si>
    <t>The Gera Imperium Green Co.op HMS Ltd</t>
  </si>
  <si>
    <t>NGFT EDCON sale deed</t>
  </si>
  <si>
    <t>cancelled</t>
  </si>
  <si>
    <t>stop it</t>
  </si>
  <si>
    <t>31/7/25</t>
  </si>
  <si>
    <t>I25-261060002596</t>
  </si>
  <si>
    <t>Nexus Aotomations pvt ltd</t>
  </si>
  <si>
    <t>5.aug.25</t>
  </si>
  <si>
    <t>25-26/260</t>
  </si>
  <si>
    <t>25-26/264</t>
  </si>
  <si>
    <t>9.aug.25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</si>
</sst>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[$-409]dd\-mmm\-yy;@"/>
    <numFmt numFmtId="165" formatCode="[$-409]d\-mmm\-yy;@"/>
    <numFmt numFmtId="166" formatCode="dd\/mm\/yyyy"/>
    <numFmt numFmtId="167" formatCode="&quot;&quot;0.00"/>
  </numFmts>
  <fonts count="32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0"/>
      <color rgb="FF000000"/>
      <name val="Helvetica-Bold"/>
      <charset val="134"/>
    </font>
    <font>
      <sz val="10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Arial"/>
      <family val="2"/>
    </font>
    <font>
      <sz val="10"/>
      <color rgb="FF000000"/>
      <name val="Calibri  "/>
      <charset val="134"/>
    </font>
    <font>
      <sz val="11"/>
      <color indexed="8"/>
      <name val="Calibri"/>
      <family val="2"/>
    </font>
    <font>
      <sz val="16"/>
      <color theme="1"/>
      <name val="Arial"/>
      <family val="2"/>
    </font>
    <font>
      <b/>
      <sz val="12"/>
      <color theme="1"/>
      <name val="Arial"/>
      <family val="2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7" tint="0.399945066682943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0.39997558519241921"/>
        <bgColor indexed="64"/>
      </patternFill>
    </fill>
  </fills>
  <borders count="35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medium">
        <color indexed="64"/>
      </left>
      <right/>
      <top/>
      <bottom/>
      <diagonal/>
    </border>
  </borders>
  <cellStyleXfs count="4">
    <xf numFmtId="0" fontId="0" fillId="0" borderId="0"/>
    <xf numFmtId="43" fontId="26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27" fillId="0" borderId="0"/>
  </cellStyleXfs>
  <cellXfs count="304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wrapText="1"/>
    </xf>
    <xf numFmtId="43" fontId="0" fillId="0" borderId="0" xfId="1" applyFont="1" applyFill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9" fillId="2" borderId="2" xfId="0" applyFont="1" applyFill="1" applyBorder="1" applyAlignment="1">
      <alignment horizontal="center" vertical="center" wrapText="1"/>
    </xf>
    <xf numFmtId="0" fontId="9" fillId="2" borderId="2" xfId="0" applyFont="1" applyFill="1" applyBorder="1" applyAlignment="1">
      <alignment horizontal="center" wrapText="1"/>
    </xf>
    <xf numFmtId="0" fontId="9" fillId="2" borderId="3" xfId="0" applyFont="1" applyFill="1" applyBorder="1" applyAlignment="1">
      <alignment horizontal="center" wrapText="1"/>
    </xf>
    <xf numFmtId="0" fontId="9" fillId="2" borderId="4" xfId="0" applyFont="1" applyFill="1" applyBorder="1" applyAlignment="1">
      <alignment horizontal="center" wrapText="1"/>
    </xf>
    <xf numFmtId="43" fontId="9" fillId="0" borderId="0" xfId="1" applyFont="1" applyFill="1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10" fillId="0" borderId="5" xfId="0" applyFont="1" applyBorder="1" applyAlignment="1">
      <alignment horizontal="center" vertical="center" wrapText="1"/>
    </xf>
    <xf numFmtId="0" fontId="0" fillId="0" borderId="5" xfId="0" applyBorder="1" applyAlignment="1">
      <alignment horizontal="center" wrapText="1"/>
    </xf>
    <xf numFmtId="0" fontId="0" fillId="0" borderId="6" xfId="0" applyBorder="1" applyAlignment="1">
      <alignment wrapText="1"/>
    </xf>
    <xf numFmtId="43" fontId="0" fillId="0" borderId="5" xfId="1" applyFont="1" applyFill="1" applyBorder="1" applyAlignment="1">
      <alignment horizontal="center" vertical="center" wrapText="1"/>
    </xf>
    <xf numFmtId="0" fontId="0" fillId="0" borderId="5" xfId="0" applyBorder="1" applyAlignment="1">
      <alignment wrapText="1"/>
    </xf>
    <xf numFmtId="43" fontId="11" fillId="0" borderId="7" xfId="1" applyFont="1" applyFill="1" applyBorder="1" applyAlignment="1">
      <alignment horizontal="center" vertical="center" wrapText="1"/>
    </xf>
    <xf numFmtId="43" fontId="11" fillId="0" borderId="5" xfId="1" applyFont="1" applyFill="1" applyBorder="1" applyAlignment="1">
      <alignment horizontal="center" vertical="center" wrapText="1"/>
    </xf>
    <xf numFmtId="1" fontId="10" fillId="0" borderId="5" xfId="0" applyNumberFormat="1" applyFont="1" applyBorder="1" applyAlignment="1">
      <alignment horizontal="center" vertical="center" wrapText="1"/>
    </xf>
    <xf numFmtId="43" fontId="0" fillId="0" borderId="8" xfId="1" applyFont="1" applyFill="1" applyBorder="1" applyAlignment="1">
      <alignment horizontal="center" vertical="center" wrapText="1"/>
    </xf>
    <xf numFmtId="43" fontId="0" fillId="0" borderId="7" xfId="1" applyFont="1" applyFill="1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/>
    </xf>
    <xf numFmtId="0" fontId="0" fillId="0" borderId="12" xfId="0" applyBorder="1" applyAlignment="1">
      <alignment horizontal="center" vertical="center" wrapText="1"/>
    </xf>
    <xf numFmtId="0" fontId="0" fillId="0" borderId="5" xfId="0" applyBorder="1" applyAlignment="1">
      <alignment vertical="center" wrapText="1"/>
    </xf>
    <xf numFmtId="0" fontId="12" fillId="0" borderId="6" xfId="2" applyBorder="1" applyAlignment="1">
      <alignment vertical="center" wrapText="1"/>
    </xf>
    <xf numFmtId="0" fontId="13" fillId="0" borderId="5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4" fillId="3" borderId="5" xfId="0" applyFont="1" applyFill="1" applyBorder="1" applyAlignment="1">
      <alignment horizontal="center" wrapText="1"/>
    </xf>
    <xf numFmtId="0" fontId="0" fillId="0" borderId="14" xfId="0" applyBorder="1" applyAlignment="1">
      <alignment horizontal="center" vertical="center" wrapText="1"/>
    </xf>
    <xf numFmtId="0" fontId="0" fillId="0" borderId="0" xfId="0" applyBorder="1" applyAlignment="1">
      <alignment horizontal="center" vertical="center" wrapText="1"/>
    </xf>
    <xf numFmtId="0" fontId="0" fillId="0" borderId="18" xfId="0" applyBorder="1" applyAlignment="1">
      <alignment horizontal="center" vertical="center" wrapText="1"/>
    </xf>
    <xf numFmtId="0" fontId="0" fillId="0" borderId="13" xfId="0" applyBorder="1" applyAlignment="1">
      <alignment horizontal="center"/>
    </xf>
    <xf numFmtId="0" fontId="0" fillId="0" borderId="14" xfId="0" applyFill="1" applyBorder="1" applyAlignment="1">
      <alignment horizontal="center" vertical="center"/>
    </xf>
    <xf numFmtId="0" fontId="0" fillId="0" borderId="4" xfId="0" applyBorder="1" applyAlignment="1">
      <alignment horizontal="center"/>
    </xf>
    <xf numFmtId="0" fontId="0" fillId="0" borderId="0" xfId="0" applyFill="1" applyBorder="1" applyAlignment="1">
      <alignment horizontal="center" vertical="center" wrapText="1"/>
    </xf>
    <xf numFmtId="0" fontId="0" fillId="0" borderId="17" xfId="0" applyBorder="1" applyAlignment="1">
      <alignment horizontal="center"/>
    </xf>
    <xf numFmtId="0" fontId="0" fillId="0" borderId="18" xfId="0" applyFill="1" applyBorder="1" applyAlignment="1">
      <alignment horizontal="center" vertical="center" wrapText="1"/>
    </xf>
    <xf numFmtId="0" fontId="0" fillId="0" borderId="14" xfId="0" applyBorder="1"/>
    <xf numFmtId="0" fontId="0" fillId="0" borderId="18" xfId="0" applyBorder="1"/>
    <xf numFmtId="0" fontId="0" fillId="0" borderId="0" xfId="0" applyFill="1" applyBorder="1" applyAlignment="1">
      <alignment horizontal="center" vertical="center"/>
    </xf>
    <xf numFmtId="0" fontId="0" fillId="0" borderId="0" xfId="0" applyBorder="1"/>
    <xf numFmtId="0" fontId="15" fillId="3" borderId="0" xfId="0" applyFont="1" applyFill="1" applyAlignment="1">
      <alignment horizontal="center" wrapText="1"/>
    </xf>
    <xf numFmtId="0" fontId="15" fillId="5" borderId="0" xfId="0" applyFont="1" applyFill="1" applyAlignment="1">
      <alignment horizontal="center" wrapText="1"/>
    </xf>
    <xf numFmtId="0" fontId="15" fillId="0" borderId="5" xfId="0" applyFont="1" applyBorder="1" applyAlignment="1">
      <alignment horizontal="center" wrapText="1"/>
    </xf>
    <xf numFmtId="0" fontId="15" fillId="0" borderId="0" xfId="0" applyFont="1" applyAlignment="1">
      <alignment horizontal="center" wrapText="1"/>
    </xf>
    <xf numFmtId="0" fontId="14" fillId="0" borderId="5" xfId="0" applyFont="1" applyBorder="1" applyAlignment="1">
      <alignment horizontal="center" wrapText="1"/>
    </xf>
    <xf numFmtId="0" fontId="15" fillId="3" borderId="5" xfId="0" applyFont="1" applyFill="1" applyBorder="1" applyAlignment="1">
      <alignment horizontal="center" wrapText="1"/>
    </xf>
    <xf numFmtId="0" fontId="0" fillId="3" borderId="5" xfId="0" applyFill="1" applyBorder="1" applyAlignment="1">
      <alignment horizontal="center"/>
    </xf>
    <xf numFmtId="0" fontId="0" fillId="0" borderId="5" xfId="0" applyBorder="1" applyAlignment="1">
      <alignment horizontal="center"/>
    </xf>
    <xf numFmtId="0" fontId="15" fillId="5" borderId="5" xfId="0" applyFont="1" applyFill="1" applyBorder="1" applyAlignment="1">
      <alignment horizontal="center" wrapText="1"/>
    </xf>
    <xf numFmtId="0" fontId="0" fillId="5" borderId="5" xfId="0" applyFill="1" applyBorder="1" applyAlignment="1">
      <alignment horizontal="center"/>
    </xf>
    <xf numFmtId="14" fontId="15" fillId="0" borderId="5" xfId="0" applyNumberFormat="1" applyFont="1" applyBorder="1" applyAlignment="1">
      <alignment horizontal="center" wrapText="1"/>
    </xf>
    <xf numFmtId="15" fontId="15" fillId="5" borderId="5" xfId="0" applyNumberFormat="1" applyFont="1" applyFill="1" applyBorder="1" applyAlignment="1">
      <alignment horizontal="center" wrapText="1"/>
    </xf>
    <xf numFmtId="164" fontId="11" fillId="0" borderId="0" xfId="0" applyNumberFormat="1" applyFont="1" applyAlignment="1">
      <alignment horizontal="center" vertical="center" wrapText="1"/>
    </xf>
    <xf numFmtId="0" fontId="11" fillId="0" borderId="0" xfId="0" applyFont="1" applyAlignment="1">
      <alignment horizontal="center" wrapText="1"/>
    </xf>
    <xf numFmtId="164" fontId="16" fillId="0" borderId="20" xfId="0" applyNumberFormat="1" applyFont="1" applyBorder="1" applyAlignment="1">
      <alignment horizontal="center" vertical="center" wrapText="1"/>
    </xf>
    <xf numFmtId="0" fontId="16" fillId="0" borderId="21" xfId="0" applyFont="1" applyBorder="1" applyAlignment="1">
      <alignment horizontal="center" vertical="center" wrapText="1"/>
    </xf>
    <xf numFmtId="0" fontId="16" fillId="0" borderId="22" xfId="0" applyFont="1" applyBorder="1" applyAlignment="1">
      <alignment horizontal="center" vertical="center" wrapText="1"/>
    </xf>
    <xf numFmtId="164" fontId="16" fillId="0" borderId="7" xfId="0" applyNumberFormat="1" applyFont="1" applyBorder="1" applyAlignment="1">
      <alignment horizontal="center" vertical="center" wrapText="1"/>
    </xf>
    <xf numFmtId="0" fontId="16" fillId="0" borderId="7" xfId="0" applyFont="1" applyBorder="1" applyAlignment="1">
      <alignment horizontal="center" wrapText="1"/>
    </xf>
    <xf numFmtId="0" fontId="0" fillId="0" borderId="7" xfId="0" applyFont="1" applyBorder="1" applyAlignment="1">
      <alignment horizontal="center" wrapText="1"/>
    </xf>
    <xf numFmtId="164" fontId="0" fillId="0" borderId="5" xfId="0" applyNumberFormat="1" applyFont="1" applyBorder="1" applyAlignment="1">
      <alignment horizontal="center" vertical="center" wrapText="1"/>
    </xf>
    <xf numFmtId="0" fontId="16" fillId="0" borderId="5" xfId="0" applyFont="1" applyBorder="1" applyAlignment="1">
      <alignment horizontal="center" wrapText="1"/>
    </xf>
    <xf numFmtId="0" fontId="0" fillId="0" borderId="5" xfId="0" applyFont="1" applyBorder="1" applyAlignment="1">
      <alignment horizontal="center" wrapText="1"/>
    </xf>
    <xf numFmtId="164" fontId="16" fillId="0" borderId="5" xfId="0" applyNumberFormat="1" applyFont="1" applyBorder="1" applyAlignment="1">
      <alignment horizontal="center" vertical="center" wrapText="1"/>
    </xf>
    <xf numFmtId="164" fontId="11" fillId="0" borderId="5" xfId="0" applyNumberFormat="1" applyFont="1" applyBorder="1" applyAlignment="1">
      <alignment horizontal="center" vertical="center" wrapText="1"/>
    </xf>
    <xf numFmtId="0" fontId="11" fillId="0" borderId="5" xfId="0" applyFont="1" applyBorder="1" applyAlignment="1">
      <alignment horizontal="center" wrapText="1"/>
    </xf>
    <xf numFmtId="0" fontId="12" fillId="0" borderId="0" xfId="2" applyAlignment="1">
      <alignment horizontal="center" wrapText="1"/>
    </xf>
    <xf numFmtId="0" fontId="17" fillId="0" borderId="0" xfId="0" applyFont="1" applyAlignment="1">
      <alignment horizontal="center" vertical="center"/>
    </xf>
    <xf numFmtId="0" fontId="18" fillId="3" borderId="0" xfId="0" applyFont="1" applyFill="1" applyAlignment="1">
      <alignment horizontal="center"/>
    </xf>
    <xf numFmtId="0" fontId="18" fillId="5" borderId="0" xfId="0" applyFont="1" applyFill="1" applyAlignment="1">
      <alignment horizontal="center"/>
    </xf>
    <xf numFmtId="0" fontId="18" fillId="0" borderId="5" xfId="0" applyFont="1" applyBorder="1" applyAlignment="1">
      <alignment horizontal="center"/>
    </xf>
    <xf numFmtId="43" fontId="18" fillId="0" borderId="5" xfId="1" applyFont="1" applyBorder="1" applyAlignment="1"/>
    <xf numFmtId="0" fontId="18" fillId="0" borderId="5" xfId="0" applyFont="1" applyBorder="1" applyAlignment="1">
      <alignment horizontal="right"/>
    </xf>
    <xf numFmtId="0" fontId="18" fillId="0" borderId="23" xfId="0" applyFont="1" applyBorder="1" applyAlignment="1">
      <alignment horizontal="center"/>
    </xf>
    <xf numFmtId="0" fontId="18" fillId="0" borderId="0" xfId="0" applyFont="1" applyAlignment="1">
      <alignment horizontal="center"/>
    </xf>
    <xf numFmtId="0" fontId="17" fillId="0" borderId="5" xfId="0" applyFont="1" applyBorder="1" applyAlignment="1">
      <alignment horizontal="center" vertical="center"/>
    </xf>
    <xf numFmtId="43" fontId="17" fillId="0" borderId="5" xfId="1" applyFont="1" applyBorder="1" applyAlignment="1">
      <alignment vertical="center"/>
    </xf>
    <xf numFmtId="0" fontId="17" fillId="0" borderId="5" xfId="0" applyFont="1" applyBorder="1" applyAlignment="1">
      <alignment horizontal="center" vertical="center" wrapText="1"/>
    </xf>
    <xf numFmtId="0" fontId="17" fillId="0" borderId="5" xfId="0" applyFont="1" applyFill="1" applyBorder="1" applyAlignment="1">
      <alignment horizontal="center" vertical="center"/>
    </xf>
    <xf numFmtId="0" fontId="17" fillId="0" borderId="5" xfId="0" applyFont="1" applyFill="1" applyBorder="1" applyAlignment="1">
      <alignment horizontal="center" vertical="center" wrapText="1"/>
    </xf>
    <xf numFmtId="165" fontId="0" fillId="0" borderId="5" xfId="0" applyNumberFormat="1" applyBorder="1" applyAlignment="1">
      <alignment horizontal="center" vertical="center"/>
    </xf>
    <xf numFmtId="0" fontId="15" fillId="0" borderId="5" xfId="0" applyFont="1" applyBorder="1" applyAlignment="1">
      <alignment horizontal="center"/>
    </xf>
    <xf numFmtId="165" fontId="0" fillId="3" borderId="5" xfId="0" applyNumberFormat="1" applyFill="1" applyBorder="1" applyAlignment="1">
      <alignment horizontal="center"/>
    </xf>
    <xf numFmtId="0" fontId="0" fillId="3" borderId="5" xfId="0" applyFill="1" applyBorder="1" applyAlignment="1">
      <alignment horizontal="center" vertical="center"/>
    </xf>
    <xf numFmtId="43" fontId="18" fillId="3" borderId="5" xfId="1" applyFont="1" applyFill="1" applyBorder="1" applyAlignment="1"/>
    <xf numFmtId="0" fontId="18" fillId="3" borderId="5" xfId="0" applyFont="1" applyFill="1" applyBorder="1" applyAlignment="1">
      <alignment horizontal="center"/>
    </xf>
    <xf numFmtId="15" fontId="18" fillId="3" borderId="5" xfId="0" applyNumberFormat="1" applyFont="1" applyFill="1" applyBorder="1" applyAlignment="1">
      <alignment horizontal="center"/>
    </xf>
    <xf numFmtId="0" fontId="0" fillId="3" borderId="0" xfId="0" applyFill="1" applyAlignment="1">
      <alignment horizontal="right"/>
    </xf>
    <xf numFmtId="14" fontId="18" fillId="3" borderId="5" xfId="0" applyNumberFormat="1" applyFont="1" applyFill="1" applyBorder="1" applyAlignment="1">
      <alignment horizontal="center"/>
    </xf>
    <xf numFmtId="0" fontId="0" fillId="3" borderId="0" xfId="0" applyFill="1" applyAlignment="1">
      <alignment horizontal="center"/>
    </xf>
    <xf numFmtId="0" fontId="15" fillId="3" borderId="5" xfId="0" applyFont="1" applyFill="1" applyBorder="1" applyAlignment="1">
      <alignment horizontal="center"/>
    </xf>
    <xf numFmtId="0" fontId="18" fillId="3" borderId="5" xfId="0" applyFont="1" applyFill="1" applyBorder="1" applyAlignment="1">
      <alignment horizontal="right"/>
    </xf>
    <xf numFmtId="14" fontId="18" fillId="0" borderId="5" xfId="0" applyNumberFormat="1" applyFont="1" applyBorder="1" applyAlignment="1">
      <alignment horizontal="center"/>
    </xf>
    <xf numFmtId="0" fontId="0" fillId="0" borderId="5" xfId="0" applyFill="1" applyBorder="1" applyAlignment="1">
      <alignment horizontal="center" vertical="center"/>
    </xf>
    <xf numFmtId="0" fontId="18" fillId="0" borderId="5" xfId="0" applyFont="1" applyFill="1" applyBorder="1" applyAlignment="1">
      <alignment horizontal="center"/>
    </xf>
    <xf numFmtId="14" fontId="18" fillId="5" borderId="5" xfId="0" applyNumberFormat="1" applyFont="1" applyFill="1" applyBorder="1" applyAlignment="1">
      <alignment horizontal="center"/>
    </xf>
    <xf numFmtId="0" fontId="0" fillId="5" borderId="12" xfId="0" applyFill="1" applyBorder="1" applyAlignment="1">
      <alignment horizontal="center" vertical="center"/>
    </xf>
    <xf numFmtId="0" fontId="18" fillId="5" borderId="5" xfId="0" applyFont="1" applyFill="1" applyBorder="1" applyAlignment="1">
      <alignment horizontal="center"/>
    </xf>
    <xf numFmtId="43" fontId="18" fillId="5" borderId="5" xfId="1" applyFont="1" applyFill="1" applyBorder="1" applyAlignment="1"/>
    <xf numFmtId="0" fontId="18" fillId="5" borderId="5" xfId="0" applyFont="1" applyFill="1" applyBorder="1" applyAlignment="1">
      <alignment horizontal="center" vertical="center"/>
    </xf>
    <xf numFmtId="0" fontId="18" fillId="5" borderId="5" xfId="0" applyFont="1" applyFill="1" applyBorder="1" applyAlignment="1">
      <alignment horizontal="right"/>
    </xf>
    <xf numFmtId="43" fontId="18" fillId="5" borderId="5" xfId="0" applyNumberFormat="1" applyFont="1" applyFill="1" applyBorder="1" applyAlignment="1">
      <alignment horizontal="right"/>
    </xf>
    <xf numFmtId="14" fontId="0" fillId="0" borderId="5" xfId="0" applyNumberFormat="1" applyBorder="1" applyAlignment="1">
      <alignment horizontal="center"/>
    </xf>
    <xf numFmtId="0" fontId="0" fillId="0" borderId="5" xfId="0" applyFill="1" applyBorder="1" applyAlignment="1">
      <alignment horizontal="center"/>
    </xf>
    <xf numFmtId="0" fontId="17" fillId="0" borderId="0" xfId="0" applyFont="1" applyFill="1" applyBorder="1" applyAlignment="1">
      <alignment horizontal="center" vertical="center" wrapText="1"/>
    </xf>
    <xf numFmtId="43" fontId="18" fillId="3" borderId="5" xfId="0" applyNumberFormat="1" applyFont="1" applyFill="1" applyBorder="1" applyAlignment="1">
      <alignment horizontal="center"/>
    </xf>
    <xf numFmtId="43" fontId="18" fillId="3" borderId="23" xfId="0" applyNumberFormat="1" applyFont="1" applyFill="1" applyBorder="1" applyAlignment="1">
      <alignment horizontal="center"/>
    </xf>
    <xf numFmtId="0" fontId="18" fillId="3" borderId="23" xfId="0" applyFont="1" applyFill="1" applyBorder="1" applyAlignment="1">
      <alignment horizontal="center"/>
    </xf>
    <xf numFmtId="0" fontId="18" fillId="5" borderId="23" xfId="0" applyFont="1" applyFill="1" applyBorder="1" applyAlignment="1">
      <alignment horizontal="center"/>
    </xf>
    <xf numFmtId="0" fontId="0" fillId="0" borderId="0" xfId="0" applyFill="1" applyAlignment="1">
      <alignment horizontal="center" vertical="center" wrapText="1"/>
    </xf>
    <xf numFmtId="0" fontId="0" fillId="0" borderId="5" xfId="0" applyFill="1" applyBorder="1" applyAlignment="1">
      <alignment horizontal="center" vertical="center" wrapText="1"/>
    </xf>
    <xf numFmtId="0" fontId="0" fillId="5" borderId="0" xfId="0" applyFill="1" applyAlignment="1">
      <alignment horizontal="center" vertical="center" wrapText="1"/>
    </xf>
    <xf numFmtId="0" fontId="0" fillId="0" borderId="0" xfId="0" applyAlignment="1">
      <alignment vertical="center"/>
    </xf>
    <xf numFmtId="164" fontId="9" fillId="0" borderId="5" xfId="0" applyNumberFormat="1" applyFont="1" applyFill="1" applyBorder="1" applyAlignment="1">
      <alignment horizontal="center" vertical="center" wrapText="1"/>
    </xf>
    <xf numFmtId="0" fontId="9" fillId="0" borderId="5" xfId="0" applyFont="1" applyFill="1" applyBorder="1" applyAlignment="1">
      <alignment horizontal="center" vertical="center" wrapText="1"/>
    </xf>
    <xf numFmtId="43" fontId="9" fillId="0" borderId="5" xfId="1" applyFont="1" applyFill="1" applyBorder="1" applyAlignment="1">
      <alignment horizontal="center" vertical="center" wrapText="1"/>
    </xf>
    <xf numFmtId="43" fontId="9" fillId="0" borderId="5" xfId="1" applyFont="1" applyFill="1" applyBorder="1" applyAlignment="1">
      <alignment vertical="center" wrapText="1"/>
    </xf>
    <xf numFmtId="17" fontId="9" fillId="3" borderId="5" xfId="0" applyNumberFormat="1" applyFont="1" applyFill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14" fontId="0" fillId="0" borderId="0" xfId="0" applyNumberFormat="1"/>
    <xf numFmtId="0" fontId="0" fillId="0" borderId="12" xfId="0" applyBorder="1" applyAlignment="1">
      <alignment horizontal="center" vertical="center"/>
    </xf>
    <xf numFmtId="0" fontId="19" fillId="0" borderId="0" xfId="0" applyFont="1" applyAlignment="1">
      <alignment horizontal="center" vertical="center" wrapText="1"/>
    </xf>
    <xf numFmtId="0" fontId="13" fillId="0" borderId="0" xfId="0" applyFont="1" applyAlignment="1">
      <alignment horizontal="center" vertical="center" wrapText="1"/>
    </xf>
    <xf numFmtId="0" fontId="13" fillId="0" borderId="5" xfId="0" applyFont="1" applyBorder="1" applyAlignment="1">
      <alignment vertical="center" wrapText="1"/>
    </xf>
    <xf numFmtId="14" fontId="0" fillId="0" borderId="5" xfId="0" applyNumberFormat="1" applyBorder="1"/>
    <xf numFmtId="0" fontId="0" fillId="0" borderId="5" xfId="0" applyBorder="1" applyAlignment="1">
      <alignment vertical="center"/>
    </xf>
    <xf numFmtId="0" fontId="0" fillId="0" borderId="5" xfId="0" applyBorder="1"/>
    <xf numFmtId="0" fontId="0" fillId="0" borderId="7" xfId="0" applyBorder="1" applyAlignment="1">
      <alignment horizontal="center" vertical="center" wrapText="1"/>
    </xf>
    <xf numFmtId="0" fontId="0" fillId="0" borderId="23" xfId="0" applyBorder="1" applyAlignment="1">
      <alignment horizontal="center" vertical="center" wrapText="1"/>
    </xf>
    <xf numFmtId="14" fontId="0" fillId="0" borderId="5" xfId="0" applyNumberFormat="1" applyBorder="1" applyAlignment="1">
      <alignment horizontal="center" vertical="center" wrapText="1"/>
    </xf>
    <xf numFmtId="14" fontId="0" fillId="0" borderId="5" xfId="0" applyNumberFormat="1" applyBorder="1" applyAlignment="1">
      <alignment horizontal="center" vertical="center"/>
    </xf>
    <xf numFmtId="0" fontId="0" fillId="0" borderId="12" xfId="0" applyBorder="1" applyAlignment="1">
      <alignment vertical="center"/>
    </xf>
    <xf numFmtId="15" fontId="0" fillId="0" borderId="5" xfId="0" applyNumberFormat="1" applyFill="1" applyBorder="1" applyAlignment="1">
      <alignment horizontal="center" vertical="center"/>
    </xf>
    <xf numFmtId="2" fontId="0" fillId="0" borderId="5" xfId="0" applyNumberFormat="1" applyFill="1" applyBorder="1" applyAlignment="1">
      <alignment horizontal="center" vertical="center" wrapText="1"/>
    </xf>
    <xf numFmtId="164" fontId="0" fillId="0" borderId="5" xfId="0" applyNumberFormat="1" applyFill="1" applyBorder="1" applyAlignment="1">
      <alignment horizontal="center" vertical="center" wrapText="1"/>
    </xf>
    <xf numFmtId="43" fontId="0" fillId="0" borderId="5" xfId="1" applyFont="1" applyFill="1" applyBorder="1" applyAlignment="1">
      <alignment vertical="center"/>
    </xf>
    <xf numFmtId="0" fontId="0" fillId="0" borderId="7" xfId="0" applyBorder="1" applyAlignment="1">
      <alignment vertical="center"/>
    </xf>
    <xf numFmtId="15" fontId="0" fillId="5" borderId="5" xfId="0" applyNumberFormat="1" applyFill="1" applyBorder="1" applyAlignment="1">
      <alignment horizontal="center" vertical="center"/>
    </xf>
    <xf numFmtId="0" fontId="0" fillId="5" borderId="5" xfId="0" applyFill="1" applyBorder="1" applyAlignment="1">
      <alignment horizontal="center" vertical="center" wrapText="1"/>
    </xf>
    <xf numFmtId="0" fontId="0" fillId="5" borderId="6" xfId="0" applyFill="1" applyBorder="1" applyAlignment="1">
      <alignment horizontal="center" wrapText="1"/>
    </xf>
    <xf numFmtId="4" fontId="0" fillId="5" borderId="5" xfId="0" applyNumberFormat="1" applyFill="1" applyBorder="1" applyAlignment="1">
      <alignment horizontal="right"/>
    </xf>
    <xf numFmtId="15" fontId="0" fillId="5" borderId="5" xfId="0" applyNumberFormat="1" applyFill="1" applyBorder="1" applyAlignment="1">
      <alignment horizontal="center"/>
    </xf>
    <xf numFmtId="43" fontId="0" fillId="5" borderId="5" xfId="1" applyFont="1" applyFill="1" applyBorder="1" applyAlignment="1">
      <alignment horizontal="center"/>
    </xf>
    <xf numFmtId="0" fontId="0" fillId="0" borderId="6" xfId="0" applyBorder="1" applyAlignment="1">
      <alignment horizontal="center" vertical="center"/>
    </xf>
    <xf numFmtId="164" fontId="0" fillId="5" borderId="5" xfId="0" applyNumberFormat="1" applyFill="1" applyBorder="1" applyAlignment="1">
      <alignment horizontal="center" vertical="center" wrapText="1"/>
    </xf>
    <xf numFmtId="0" fontId="0" fillId="3" borderId="0" xfId="0" applyFill="1" applyAlignment="1">
      <alignment horizontal="center" vertical="center" wrapText="1"/>
    </xf>
    <xf numFmtId="0" fontId="0" fillId="8" borderId="0" xfId="0" applyFill="1" applyAlignment="1">
      <alignment horizontal="center" vertical="center" wrapText="1"/>
    </xf>
    <xf numFmtId="0" fontId="0" fillId="7" borderId="0" xfId="0" applyFill="1" applyAlignment="1">
      <alignment horizontal="center" vertical="center" wrapText="1"/>
    </xf>
    <xf numFmtId="0" fontId="0" fillId="0" borderId="5" xfId="0" applyFill="1" applyBorder="1" applyAlignment="1">
      <alignment horizontal="left" vertical="center" wrapText="1"/>
    </xf>
    <xf numFmtId="0" fontId="9" fillId="0" borderId="5" xfId="0" applyFont="1" applyFill="1" applyBorder="1" applyAlignment="1">
      <alignment horizontal="left" vertical="center" wrapText="1"/>
    </xf>
    <xf numFmtId="43" fontId="0" fillId="5" borderId="5" xfId="1" applyFont="1" applyFill="1" applyBorder="1" applyAlignment="1">
      <alignment horizontal="center" vertical="center" wrapText="1"/>
    </xf>
    <xf numFmtId="14" fontId="0" fillId="5" borderId="5" xfId="0" applyNumberFormat="1" applyFill="1" applyBorder="1" applyAlignment="1">
      <alignment horizontal="center" vertical="center"/>
    </xf>
    <xf numFmtId="0" fontId="0" fillId="5" borderId="5" xfId="0" applyFill="1" applyBorder="1" applyAlignment="1">
      <alignment horizontal="left" vertical="center" wrapText="1"/>
    </xf>
    <xf numFmtId="164" fontId="0" fillId="0" borderId="5" xfId="0" applyNumberFormat="1" applyBorder="1" applyAlignment="1">
      <alignment horizontal="center" vertical="center" wrapText="1"/>
    </xf>
    <xf numFmtId="43" fontId="15" fillId="0" borderId="5" xfId="1" applyFont="1" applyBorder="1" applyAlignment="1">
      <alignment horizontal="center" wrapText="1"/>
    </xf>
    <xf numFmtId="14" fontId="0" fillId="3" borderId="5" xfId="0" applyNumberFormat="1" applyFill="1" applyBorder="1" applyAlignment="1">
      <alignment horizontal="center"/>
    </xf>
    <xf numFmtId="43" fontId="15" fillId="3" borderId="5" xfId="1" applyFont="1" applyFill="1" applyBorder="1" applyAlignment="1">
      <alignment horizontal="center" wrapText="1"/>
    </xf>
    <xf numFmtId="0" fontId="0" fillId="3" borderId="5" xfId="0" applyFill="1" applyBorder="1" applyAlignment="1">
      <alignment horizontal="center" vertical="center" wrapText="1"/>
    </xf>
    <xf numFmtId="164" fontId="0" fillId="3" borderId="5" xfId="0" applyNumberFormat="1" applyFill="1" applyBorder="1" applyAlignment="1">
      <alignment horizontal="center" vertical="center" wrapText="1"/>
    </xf>
    <xf numFmtId="0" fontId="0" fillId="3" borderId="5" xfId="0" applyFill="1" applyBorder="1" applyAlignment="1">
      <alignment horizontal="left" vertical="center" wrapText="1"/>
    </xf>
    <xf numFmtId="2" fontId="0" fillId="5" borderId="5" xfId="0" applyNumberFormat="1" applyFill="1" applyBorder="1" applyAlignment="1">
      <alignment horizontal="center"/>
    </xf>
    <xf numFmtId="0" fontId="0" fillId="5" borderId="0" xfId="0" applyFill="1"/>
    <xf numFmtId="164" fontId="0" fillId="8" borderId="5" xfId="0" applyNumberFormat="1" applyFill="1" applyBorder="1" applyAlignment="1">
      <alignment horizontal="center" vertical="center" wrapText="1"/>
    </xf>
    <xf numFmtId="0" fontId="0" fillId="8" borderId="5" xfId="0" applyFill="1" applyBorder="1" applyAlignment="1">
      <alignment horizontal="center" vertical="center" wrapText="1"/>
    </xf>
    <xf numFmtId="43" fontId="0" fillId="8" borderId="5" xfId="1" applyFont="1" applyFill="1" applyBorder="1" applyAlignment="1">
      <alignment horizontal="center" vertical="center" wrapText="1"/>
    </xf>
    <xf numFmtId="0" fontId="0" fillId="8" borderId="5" xfId="0" applyFill="1" applyBorder="1" applyAlignment="1">
      <alignment horizontal="left" vertical="center" wrapText="1"/>
    </xf>
    <xf numFmtId="43" fontId="0" fillId="3" borderId="5" xfId="1" applyFont="1" applyFill="1" applyBorder="1" applyAlignment="1">
      <alignment horizontal="center" vertical="center" wrapText="1"/>
    </xf>
    <xf numFmtId="0" fontId="10" fillId="5" borderId="5" xfId="0" applyFont="1" applyFill="1" applyBorder="1" applyAlignment="1">
      <alignment horizontal="center" vertical="center" wrapText="1"/>
    </xf>
    <xf numFmtId="0" fontId="0" fillId="5" borderId="5" xfId="0" applyFill="1" applyBorder="1" applyAlignment="1">
      <alignment horizontal="center" vertical="center"/>
    </xf>
    <xf numFmtId="0" fontId="0" fillId="5" borderId="7" xfId="0" applyFill="1" applyBorder="1" applyAlignment="1">
      <alignment horizontal="center" vertical="center"/>
    </xf>
    <xf numFmtId="0" fontId="0" fillId="0" borderId="12" xfId="0" applyBorder="1" applyAlignment="1">
      <alignment horizontal="center"/>
    </xf>
    <xf numFmtId="0" fontId="0" fillId="5" borderId="7" xfId="0" applyFill="1" applyBorder="1" applyAlignment="1">
      <alignment horizontal="center" vertical="center" wrapText="1"/>
    </xf>
    <xf numFmtId="0" fontId="0" fillId="7" borderId="5" xfId="0" applyFill="1" applyBorder="1"/>
    <xf numFmtId="0" fontId="0" fillId="7" borderId="5" xfId="0" applyFill="1" applyBorder="1" applyAlignment="1">
      <alignment horizontal="center"/>
    </xf>
    <xf numFmtId="43" fontId="0" fillId="7" borderId="5" xfId="1" applyFont="1" applyFill="1" applyBorder="1" applyAlignment="1">
      <alignment horizontal="center" vertical="center" wrapText="1"/>
    </xf>
    <xf numFmtId="0" fontId="0" fillId="7" borderId="5" xfId="0" applyFill="1" applyBorder="1" applyAlignment="1">
      <alignment horizontal="center" vertical="center" wrapText="1"/>
    </xf>
    <xf numFmtId="43" fontId="0" fillId="7" borderId="5" xfId="0" applyNumberFormat="1" applyFill="1" applyBorder="1" applyAlignment="1">
      <alignment horizontal="center" vertical="center" wrapText="1"/>
    </xf>
    <xf numFmtId="164" fontId="0" fillId="7" borderId="5" xfId="0" applyNumberFormat="1" applyFill="1" applyBorder="1" applyAlignment="1">
      <alignment horizontal="center" vertical="center" wrapText="1"/>
    </xf>
    <xf numFmtId="0" fontId="0" fillId="7" borderId="5" xfId="0" applyFill="1" applyBorder="1" applyAlignment="1">
      <alignment horizontal="left" vertical="center" wrapText="1"/>
    </xf>
    <xf numFmtId="0" fontId="0" fillId="0" borderId="5" xfId="0" applyFill="1" applyBorder="1"/>
    <xf numFmtId="43" fontId="0" fillId="0" borderId="5" xfId="0" applyNumberFormat="1" applyFill="1" applyBorder="1" applyAlignment="1">
      <alignment horizontal="center" vertical="center" wrapText="1"/>
    </xf>
    <xf numFmtId="14" fontId="0" fillId="3" borderId="5" xfId="0" applyNumberFormat="1" applyFill="1" applyBorder="1" applyAlignment="1">
      <alignment horizontal="center" vertical="center"/>
    </xf>
    <xf numFmtId="0" fontId="20" fillId="0" borderId="5" xfId="0" applyNumberFormat="1" applyFont="1" applyFill="1" applyBorder="1" applyAlignment="1" applyProtection="1">
      <alignment horizontal="center"/>
    </xf>
    <xf numFmtId="0" fontId="0" fillId="0" borderId="7" xfId="0" applyBorder="1"/>
    <xf numFmtId="166" fontId="18" fillId="0" borderId="5" xfId="0" applyNumberFormat="1" applyFont="1" applyBorder="1" applyAlignment="1">
      <alignment horizontal="left" vertical="top"/>
    </xf>
    <xf numFmtId="0" fontId="18" fillId="0" borderId="5" xfId="0" applyFont="1" applyBorder="1" applyAlignment="1">
      <alignment vertical="top"/>
    </xf>
    <xf numFmtId="167" fontId="18" fillId="0" borderId="5" xfId="0" applyNumberFormat="1" applyFont="1" applyBorder="1" applyAlignment="1">
      <alignment horizontal="right" vertical="top"/>
    </xf>
    <xf numFmtId="0" fontId="18" fillId="0" borderId="12" xfId="0" applyFont="1" applyBorder="1" applyAlignment="1">
      <alignment vertical="top"/>
    </xf>
    <xf numFmtId="167" fontId="18" fillId="0" borderId="12" xfId="0" applyNumberFormat="1" applyFont="1" applyBorder="1" applyAlignment="1">
      <alignment horizontal="right" vertical="top"/>
    </xf>
    <xf numFmtId="0" fontId="22" fillId="0" borderId="20" xfId="0" applyFont="1" applyFill="1" applyBorder="1" applyAlignment="1">
      <alignment vertical="top"/>
    </xf>
    <xf numFmtId="167" fontId="22" fillId="0" borderId="25" xfId="0" applyNumberFormat="1" applyFont="1" applyBorder="1"/>
    <xf numFmtId="0" fontId="0" fillId="9" borderId="0" xfId="0" applyFill="1" applyAlignment="1">
      <alignment horizontal="center" vertical="center" wrapText="1"/>
    </xf>
    <xf numFmtId="0" fontId="23" fillId="10" borderId="0" xfId="0" applyFont="1" applyFill="1" applyAlignment="1">
      <alignment horizontal="center" vertical="center" wrapText="1"/>
    </xf>
    <xf numFmtId="0" fontId="16" fillId="0" borderId="12" xfId="0" applyFont="1" applyBorder="1" applyAlignment="1">
      <alignment horizontal="center" vertical="center" wrapText="1"/>
    </xf>
    <xf numFmtId="0" fontId="16" fillId="9" borderId="0" xfId="0" applyFont="1" applyFill="1" applyAlignment="1">
      <alignment horizontal="center" vertical="center" wrapText="1"/>
    </xf>
    <xf numFmtId="0" fontId="0" fillId="9" borderId="5" xfId="0" applyFill="1" applyBorder="1" applyAlignment="1">
      <alignment horizontal="center" vertical="center" wrapText="1"/>
    </xf>
    <xf numFmtId="0" fontId="0" fillId="9" borderId="23" xfId="0" applyFill="1" applyBorder="1" applyAlignment="1">
      <alignment horizontal="center" vertical="center" wrapText="1"/>
    </xf>
    <xf numFmtId="0" fontId="0" fillId="9" borderId="6" xfId="0" applyFill="1" applyBorder="1" applyAlignment="1">
      <alignment horizontal="center" vertical="center" wrapText="1"/>
    </xf>
    <xf numFmtId="0" fontId="24" fillId="10" borderId="0" xfId="0" applyFont="1" applyFill="1" applyAlignment="1">
      <alignment horizontal="center" vertical="center" wrapText="1"/>
    </xf>
    <xf numFmtId="0" fontId="23" fillId="10" borderId="5" xfId="0" applyFont="1" applyFill="1" applyBorder="1" applyAlignment="1">
      <alignment horizontal="center" vertical="center" wrapText="1"/>
    </xf>
    <xf numFmtId="0" fontId="23" fillId="10" borderId="23" xfId="0" applyFont="1" applyFill="1" applyBorder="1" applyAlignment="1">
      <alignment horizontal="center" vertical="center" wrapText="1"/>
    </xf>
    <xf numFmtId="0" fontId="25" fillId="0" borderId="12" xfId="0" applyFont="1" applyBorder="1" applyAlignment="1">
      <alignment horizontal="center" vertical="center" wrapText="1"/>
    </xf>
    <xf numFmtId="0" fontId="25" fillId="0" borderId="5" xfId="0" applyFont="1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9" borderId="15" xfId="0" applyFill="1" applyBorder="1" applyAlignment="1">
      <alignment horizontal="center" vertical="center" wrapText="1"/>
    </xf>
    <xf numFmtId="0" fontId="0" fillId="9" borderId="19" xfId="0" applyFill="1" applyBorder="1" applyAlignment="1">
      <alignment horizontal="center" vertical="center" wrapText="1"/>
    </xf>
    <xf numFmtId="0" fontId="23" fillId="10" borderId="12" xfId="0" applyFont="1" applyFill="1" applyBorder="1" applyAlignment="1">
      <alignment horizontal="center" vertical="center" wrapText="1"/>
    </xf>
    <xf numFmtId="0" fontId="23" fillId="10" borderId="7" xfId="0" applyFont="1" applyFill="1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26" xfId="0" applyBorder="1" applyAlignment="1">
      <alignment horizontal="center" vertical="center" wrapText="1"/>
    </xf>
    <xf numFmtId="0" fontId="0" fillId="0" borderId="27" xfId="0" applyBorder="1" applyAlignment="1">
      <alignment horizontal="center" vertical="center" wrapText="1"/>
    </xf>
    <xf numFmtId="0" fontId="0" fillId="0" borderId="32" xfId="0" applyBorder="1" applyAlignment="1">
      <alignment horizontal="center" vertical="center" wrapText="1"/>
    </xf>
    <xf numFmtId="0" fontId="0" fillId="0" borderId="33" xfId="0" applyBorder="1" applyAlignment="1">
      <alignment horizontal="center" vertical="center" wrapText="1"/>
    </xf>
    <xf numFmtId="0" fontId="8" fillId="0" borderId="5" xfId="0" applyFont="1" applyFill="1" applyBorder="1" applyAlignment="1">
      <alignment horizontal="center"/>
    </xf>
    <xf numFmtId="0" fontId="20" fillId="5" borderId="5" xfId="0" applyNumberFormat="1" applyFont="1" applyFill="1" applyBorder="1" applyAlignment="1" applyProtection="1">
      <alignment horizontal="center"/>
    </xf>
    <xf numFmtId="0" fontId="7" fillId="5" borderId="12" xfId="0" applyFont="1" applyFill="1" applyBorder="1" applyAlignment="1">
      <alignment horizontal="center"/>
    </xf>
    <xf numFmtId="0" fontId="0" fillId="5" borderId="0" xfId="0" applyFill="1" applyAlignment="1">
      <alignment horizontal="center"/>
    </xf>
    <xf numFmtId="4" fontId="0" fillId="5" borderId="0" xfId="0" applyNumberFormat="1" applyFill="1"/>
    <xf numFmtId="14" fontId="0" fillId="5" borderId="5" xfId="0" applyNumberFormat="1" applyFill="1" applyBorder="1" applyAlignment="1">
      <alignment horizontal="center"/>
    </xf>
    <xf numFmtId="14" fontId="0" fillId="5" borderId="12" xfId="0" applyNumberFormat="1" applyFill="1" applyBorder="1"/>
    <xf numFmtId="0" fontId="6" fillId="5" borderId="5" xfId="0" applyFont="1" applyFill="1" applyBorder="1" applyAlignment="1">
      <alignment horizontal="center" vertical="center" wrapText="1"/>
    </xf>
    <xf numFmtId="164" fontId="6" fillId="5" borderId="5" xfId="0" applyNumberFormat="1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left" vertical="center" wrapText="1"/>
    </xf>
    <xf numFmtId="0" fontId="0" fillId="5" borderId="5" xfId="0" applyFill="1" applyBorder="1"/>
    <xf numFmtId="0" fontId="0" fillId="0" borderId="5" xfId="0" applyBorder="1" applyAlignment="1">
      <alignment horizontal="center" vertical="center" wrapText="1"/>
    </xf>
    <xf numFmtId="14" fontId="15" fillId="5" borderId="5" xfId="0" applyNumberFormat="1" applyFont="1" applyFill="1" applyBorder="1" applyAlignment="1">
      <alignment horizontal="center" wrapText="1"/>
    </xf>
    <xf numFmtId="14" fontId="29" fillId="0" borderId="0" xfId="0" applyNumberFormat="1" applyFont="1" applyAlignment="1">
      <alignment horizontal="right" vertical="center"/>
    </xf>
    <xf numFmtId="14" fontId="30" fillId="0" borderId="0" xfId="0" applyNumberFormat="1" applyFont="1"/>
    <xf numFmtId="0" fontId="8" fillId="5" borderId="5" xfId="0" applyFont="1" applyFill="1" applyBorder="1" applyAlignment="1">
      <alignment horizontal="center"/>
    </xf>
    <xf numFmtId="14" fontId="5" fillId="5" borderId="0" xfId="0" applyNumberFormat="1" applyFont="1" applyFill="1" applyAlignment="1">
      <alignment horizontal="center"/>
    </xf>
    <xf numFmtId="164" fontId="5" fillId="0" borderId="5" xfId="0" applyNumberFormat="1" applyFont="1" applyFill="1" applyBorder="1" applyAlignment="1">
      <alignment horizontal="center" vertical="center" wrapText="1"/>
    </xf>
    <xf numFmtId="0" fontId="5" fillId="0" borderId="5" xfId="0" applyFont="1" applyBorder="1" applyAlignment="1">
      <alignment horizontal="center"/>
    </xf>
    <xf numFmtId="0" fontId="4" fillId="5" borderId="5" xfId="0" applyFont="1" applyFill="1" applyBorder="1" applyAlignment="1">
      <alignment horizontal="center" vertical="center" wrapText="1"/>
    </xf>
    <xf numFmtId="0" fontId="3" fillId="5" borderId="5" xfId="0" applyFont="1" applyFill="1" applyBorder="1" applyAlignment="1">
      <alignment horizontal="center"/>
    </xf>
    <xf numFmtId="0" fontId="3" fillId="0" borderId="5" xfId="0" applyFont="1" applyFill="1" applyBorder="1" applyAlignment="1">
      <alignment horizontal="center"/>
    </xf>
    <xf numFmtId="164" fontId="5" fillId="5" borderId="5" xfId="0" applyNumberFormat="1" applyFont="1" applyFill="1" applyBorder="1" applyAlignment="1">
      <alignment horizontal="center" vertical="center" wrapText="1"/>
    </xf>
    <xf numFmtId="164" fontId="3" fillId="5" borderId="5" xfId="0" applyNumberFormat="1" applyFont="1" applyFill="1" applyBorder="1" applyAlignment="1">
      <alignment horizontal="center" vertical="center" wrapText="1"/>
    </xf>
    <xf numFmtId="0" fontId="3" fillId="5" borderId="5" xfId="0" applyFont="1" applyFill="1" applyBorder="1" applyAlignment="1">
      <alignment horizontal="left" vertical="center" wrapText="1"/>
    </xf>
    <xf numFmtId="0" fontId="31" fillId="0" borderId="0" xfId="0" applyFont="1"/>
    <xf numFmtId="0" fontId="0" fillId="0" borderId="0" xfId="0" applyAlignment="1">
      <alignment horizontal="center"/>
    </xf>
    <xf numFmtId="43" fontId="0" fillId="0" borderId="0" xfId="1" applyFont="1" applyBorder="1"/>
    <xf numFmtId="0" fontId="14" fillId="11" borderId="20" xfId="0" applyFont="1" applyFill="1" applyBorder="1"/>
    <xf numFmtId="0" fontId="14" fillId="11" borderId="21" xfId="0" applyFont="1" applyFill="1" applyBorder="1" applyAlignment="1">
      <alignment horizontal="center"/>
    </xf>
    <xf numFmtId="0" fontId="14" fillId="11" borderId="21" xfId="0" applyFont="1" applyFill="1" applyBorder="1"/>
    <xf numFmtId="43" fontId="14" fillId="11" borderId="21" xfId="1" applyFont="1" applyFill="1" applyBorder="1"/>
    <xf numFmtId="0" fontId="14" fillId="11" borderId="22" xfId="0" applyFont="1" applyFill="1" applyBorder="1"/>
    <xf numFmtId="0" fontId="14" fillId="0" borderId="0" xfId="0" applyFont="1"/>
    <xf numFmtId="1" fontId="0" fillId="0" borderId="5" xfId="0" applyNumberFormat="1" applyBorder="1" applyAlignment="1">
      <alignment horizontal="center"/>
    </xf>
    <xf numFmtId="43" fontId="0" fillId="0" borderId="5" xfId="1" applyFont="1" applyBorder="1"/>
    <xf numFmtId="43" fontId="0" fillId="0" borderId="0" xfId="1" applyFont="1"/>
    <xf numFmtId="0" fontId="2" fillId="0" borderId="5" xfId="0" applyFont="1" applyBorder="1"/>
    <xf numFmtId="14" fontId="2" fillId="0" borderId="5" xfId="0" applyNumberFormat="1" applyFont="1" applyBorder="1" applyAlignment="1">
      <alignment horizontal="center"/>
    </xf>
    <xf numFmtId="164" fontId="2" fillId="0" borderId="5" xfId="0" applyNumberFormat="1" applyFont="1" applyFill="1" applyBorder="1" applyAlignment="1">
      <alignment horizontal="center" vertical="center" wrapText="1"/>
    </xf>
    <xf numFmtId="0" fontId="2" fillId="0" borderId="5" xfId="0" applyFont="1" applyBorder="1" applyAlignment="1">
      <alignment horizontal="center"/>
    </xf>
    <xf numFmtId="0" fontId="1" fillId="5" borderId="5" xfId="0" applyFont="1" applyFill="1" applyBorder="1" applyAlignment="1">
      <alignment horizontal="center" vertical="center" wrapText="1"/>
    </xf>
    <xf numFmtId="164" fontId="1" fillId="5" borderId="5" xfId="0" applyNumberFormat="1" applyFont="1" applyFill="1" applyBorder="1" applyAlignment="1">
      <alignment horizontal="center" vertical="center" wrapText="1"/>
    </xf>
    <xf numFmtId="0" fontId="16" fillId="0" borderId="0" xfId="0" applyFont="1" applyBorder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14" fontId="0" fillId="0" borderId="5" xfId="0" applyNumberFormat="1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14" fontId="0" fillId="0" borderId="12" xfId="0" applyNumberFormat="1" applyBorder="1" applyAlignment="1">
      <alignment horizontal="center" vertical="center" wrapText="1"/>
    </xf>
    <xf numFmtId="14" fontId="0" fillId="0" borderId="8" xfId="0" applyNumberFormat="1" applyBorder="1" applyAlignment="1">
      <alignment horizontal="center" vertical="center" wrapText="1"/>
    </xf>
    <xf numFmtId="14" fontId="0" fillId="0" borderId="7" xfId="0" applyNumberFormat="1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14" fontId="0" fillId="0" borderId="13" xfId="0" applyNumberFormat="1" applyBorder="1" applyAlignment="1">
      <alignment horizontal="center" vertical="center" wrapText="1"/>
    </xf>
    <xf numFmtId="14" fontId="0" fillId="0" borderId="17" xfId="0" applyNumberFormat="1" applyBorder="1" applyAlignment="1">
      <alignment horizontal="center" vertical="center" wrapText="1"/>
    </xf>
    <xf numFmtId="0" fontId="0" fillId="0" borderId="28" xfId="0" applyBorder="1" applyAlignment="1">
      <alignment horizontal="center" vertical="center" wrapText="1"/>
    </xf>
    <xf numFmtId="0" fontId="0" fillId="0" borderId="29" xfId="0" applyBorder="1" applyAlignment="1">
      <alignment horizontal="center" vertical="center" wrapText="1"/>
    </xf>
    <xf numFmtId="0" fontId="0" fillId="0" borderId="30" xfId="0" applyBorder="1" applyAlignment="1">
      <alignment horizontal="center" vertical="center" wrapText="1"/>
    </xf>
    <xf numFmtId="0" fontId="0" fillId="0" borderId="31" xfId="0" applyBorder="1" applyAlignment="1">
      <alignment horizontal="center" vertical="center" wrapText="1"/>
    </xf>
    <xf numFmtId="0" fontId="0" fillId="0" borderId="17" xfId="0" applyBorder="1" applyAlignment="1">
      <alignment horizontal="center" vertical="center" wrapText="1"/>
    </xf>
    <xf numFmtId="0" fontId="21" fillId="0" borderId="24" xfId="0" applyFont="1" applyBorder="1" applyAlignment="1">
      <alignment horizontal="center"/>
    </xf>
    <xf numFmtId="0" fontId="21" fillId="0" borderId="25" xfId="0" applyFont="1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12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31" fillId="5" borderId="34" xfId="0" applyFont="1" applyFill="1" applyBorder="1" applyAlignment="1">
      <alignment horizontal="center"/>
    </xf>
    <xf numFmtId="0" fontId="31" fillId="5" borderId="0" xfId="0" applyFont="1" applyFill="1" applyAlignment="1">
      <alignment horizontal="center"/>
    </xf>
    <xf numFmtId="0" fontId="0" fillId="0" borderId="1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4" borderId="15" xfId="0" applyFill="1" applyBorder="1" applyAlignment="1">
      <alignment horizontal="center" vertical="center"/>
    </xf>
    <xf numFmtId="0" fontId="0" fillId="4" borderId="16" xfId="0" applyFill="1" applyBorder="1" applyAlignment="1">
      <alignment horizontal="center" vertical="center"/>
    </xf>
    <xf numFmtId="0" fontId="0" fillId="4" borderId="19" xfId="0" applyFill="1" applyBorder="1" applyAlignment="1">
      <alignment horizontal="center" vertical="center"/>
    </xf>
    <xf numFmtId="0" fontId="0" fillId="5" borderId="15" xfId="0" applyFill="1" applyBorder="1" applyAlignment="1">
      <alignment horizontal="center" vertical="center"/>
    </xf>
    <xf numFmtId="0" fontId="0" fillId="5" borderId="16" xfId="0" applyFill="1" applyBorder="1" applyAlignment="1">
      <alignment horizontal="center" vertical="center"/>
    </xf>
    <xf numFmtId="0" fontId="0" fillId="5" borderId="19" xfId="0" applyFill="1" applyBorder="1" applyAlignment="1">
      <alignment horizontal="center" vertical="center"/>
    </xf>
    <xf numFmtId="0" fontId="0" fillId="6" borderId="15" xfId="0" applyFill="1" applyBorder="1" applyAlignment="1">
      <alignment horizontal="center" vertical="center"/>
    </xf>
    <xf numFmtId="0" fontId="0" fillId="6" borderId="16" xfId="0" applyFill="1" applyBorder="1" applyAlignment="1">
      <alignment horizontal="center" vertical="center"/>
    </xf>
    <xf numFmtId="0" fontId="0" fillId="6" borderId="19" xfId="0" applyFill="1" applyBorder="1" applyAlignment="1">
      <alignment horizontal="center" vertical="center"/>
    </xf>
    <xf numFmtId="0" fontId="0" fillId="7" borderId="15" xfId="0" applyFill="1" applyBorder="1" applyAlignment="1">
      <alignment horizontal="center" vertical="center"/>
    </xf>
    <xf numFmtId="0" fontId="0" fillId="7" borderId="16" xfId="0" applyFill="1" applyBorder="1" applyAlignment="1">
      <alignment horizontal="center" vertical="center"/>
    </xf>
    <xf numFmtId="0" fontId="0" fillId="7" borderId="19" xfId="0" applyFill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</cellXfs>
  <cellStyles count="4">
    <cellStyle name="Comma" xfId="1" builtinId="3"/>
    <cellStyle name="Hyperlink" xfId="2" builtinId="8"/>
    <cellStyle name="Normal" xfId="0" builtinId="0"/>
    <cellStyle name="Normal 2" xfId="3" xr:uid="{00000000-0005-0000-0000-000031000000}"/>
  </cellStyles>
  <dxfs count="3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hyperlink" Target="mailto:vantagerubber@yahoo.co.i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O962"/>
  <sheetViews>
    <sheetView topLeftCell="H34" workbookViewId="0">
      <selection activeCell="L57" sqref="L57"/>
    </sheetView>
  </sheetViews>
  <sheetFormatPr defaultColWidth="9.08984375" defaultRowHeight="14.5"/>
  <cols>
    <col min="1" max="1" width="9.08984375" style="34"/>
    <col min="2" max="2" width="17.453125" style="34" customWidth="1"/>
    <col min="3" max="3" width="34.54296875" style="34" customWidth="1"/>
    <col min="4" max="4" width="58.54296875" style="34" customWidth="1"/>
    <col min="5" max="5" width="9" style="34" customWidth="1"/>
    <col min="6" max="6" width="16.54296875" style="34" customWidth="1"/>
    <col min="7" max="7" width="17.54296875" style="34" customWidth="1"/>
    <col min="8" max="8" width="9.08984375" style="197"/>
    <col min="9" max="9" width="13" style="1" customWidth="1"/>
    <col min="10" max="10" width="22.36328125" style="1" customWidth="1"/>
    <col min="11" max="11" width="15.90625" style="1" customWidth="1"/>
    <col min="12" max="12" width="61.6328125" style="1" customWidth="1"/>
    <col min="13" max="13" width="9.08984375" style="1"/>
    <col min="14" max="14" width="17.1796875" style="1" customWidth="1"/>
    <col min="15" max="15" width="20.36328125" style="198" customWidth="1"/>
    <col min="16" max="16384" width="9.08984375" style="1"/>
  </cols>
  <sheetData>
    <row r="1" spans="1:15">
      <c r="A1" s="262" t="s">
        <v>0</v>
      </c>
      <c r="B1" s="262"/>
      <c r="C1" s="262"/>
      <c r="D1" s="262"/>
      <c r="E1" s="262"/>
      <c r="F1" s="262"/>
      <c r="G1" s="262"/>
      <c r="I1" s="263" t="s">
        <v>1</v>
      </c>
      <c r="J1" s="263"/>
      <c r="K1" s="263"/>
      <c r="L1" s="263"/>
      <c r="M1" s="263"/>
      <c r="N1" s="263"/>
    </row>
    <row r="2" spans="1:15" ht="13.75" customHeight="1">
      <c r="A2" s="199" t="s">
        <v>2</v>
      </c>
      <c r="B2" s="199" t="s">
        <v>3</v>
      </c>
      <c r="C2" s="199" t="s">
        <v>4</v>
      </c>
      <c r="D2" s="199" t="s">
        <v>5</v>
      </c>
      <c r="E2" s="199" t="s">
        <v>6</v>
      </c>
      <c r="F2" s="199" t="s">
        <v>7</v>
      </c>
      <c r="G2" s="199" t="s">
        <v>8</v>
      </c>
      <c r="H2" s="200"/>
      <c r="I2" s="199" t="s">
        <v>2</v>
      </c>
      <c r="J2" s="199" t="s">
        <v>9</v>
      </c>
      <c r="K2" s="199" t="s">
        <v>10</v>
      </c>
      <c r="L2" s="199" t="s">
        <v>5</v>
      </c>
      <c r="M2" s="199" t="s">
        <v>6</v>
      </c>
      <c r="N2" s="199" t="s">
        <v>7</v>
      </c>
      <c r="O2" s="204" t="s">
        <v>11</v>
      </c>
    </row>
    <row r="3" spans="1:15" s="12" customFormat="1">
      <c r="H3" s="201"/>
      <c r="O3" s="205"/>
    </row>
    <row r="4" spans="1:15" s="12" customFormat="1" ht="20.399999999999999" customHeight="1">
      <c r="A4" s="135">
        <v>45383</v>
      </c>
      <c r="B4" s="12" t="s">
        <v>12</v>
      </c>
      <c r="C4" s="12" t="s">
        <v>13</v>
      </c>
      <c r="D4" s="12" t="s">
        <v>14</v>
      </c>
      <c r="E4" s="12">
        <v>1</v>
      </c>
      <c r="F4" s="12" t="s">
        <v>15</v>
      </c>
      <c r="G4" s="12" t="s">
        <v>16</v>
      </c>
      <c r="H4" s="201"/>
      <c r="I4" s="264">
        <v>45404</v>
      </c>
      <c r="J4" s="265" t="s">
        <v>17</v>
      </c>
      <c r="K4" s="265" t="s">
        <v>18</v>
      </c>
      <c r="L4" s="12" t="s">
        <v>19</v>
      </c>
      <c r="M4" s="12">
        <v>10</v>
      </c>
      <c r="N4" s="265" t="s">
        <v>20</v>
      </c>
      <c r="O4" s="205"/>
    </row>
    <row r="5" spans="1:15" s="12" customFormat="1">
      <c r="A5" s="34"/>
      <c r="B5" s="34"/>
      <c r="C5" s="34"/>
      <c r="D5" s="34"/>
      <c r="E5" s="34"/>
      <c r="F5" s="34"/>
      <c r="G5" s="34"/>
      <c r="H5" s="202"/>
      <c r="I5" s="264"/>
      <c r="J5" s="265"/>
      <c r="K5" s="265"/>
      <c r="L5" s="12" t="s">
        <v>21</v>
      </c>
      <c r="M5" s="12">
        <v>3</v>
      </c>
      <c r="N5" s="265"/>
      <c r="O5" s="205"/>
    </row>
    <row r="6" spans="1:15" s="12" customFormat="1" ht="16.75" customHeight="1">
      <c r="A6" s="135">
        <v>45383</v>
      </c>
      <c r="B6" s="12" t="s">
        <v>22</v>
      </c>
      <c r="C6" s="12" t="s">
        <v>23</v>
      </c>
      <c r="D6" s="12" t="s">
        <v>24</v>
      </c>
      <c r="E6" s="12">
        <v>1</v>
      </c>
      <c r="F6" s="12" t="s">
        <v>15</v>
      </c>
      <c r="G6" s="12" t="s">
        <v>16</v>
      </c>
      <c r="H6" s="201"/>
      <c r="I6" s="264"/>
      <c r="J6" s="265"/>
      <c r="K6" s="265"/>
      <c r="L6" s="12" t="s">
        <v>25</v>
      </c>
      <c r="M6" s="12">
        <v>25</v>
      </c>
      <c r="N6" s="265"/>
      <c r="O6" s="205"/>
    </row>
    <row r="7" spans="1:15" s="12" customFormat="1">
      <c r="A7" s="34"/>
      <c r="B7" s="34"/>
      <c r="C7" s="34"/>
      <c r="D7" s="34"/>
      <c r="E7" s="34"/>
      <c r="F7" s="34"/>
      <c r="G7" s="34"/>
      <c r="H7" s="202"/>
      <c r="I7" s="264"/>
      <c r="J7" s="265"/>
      <c r="K7" s="265"/>
      <c r="L7" s="12" t="s">
        <v>26</v>
      </c>
      <c r="M7" s="12">
        <v>10</v>
      </c>
      <c r="N7" s="265"/>
      <c r="O7" s="205"/>
    </row>
    <row r="8" spans="1:15" s="12" customFormat="1">
      <c r="A8" s="135">
        <v>45385</v>
      </c>
      <c r="B8" s="12">
        <v>2213</v>
      </c>
      <c r="C8" s="12" t="s">
        <v>27</v>
      </c>
      <c r="D8" s="12" t="s">
        <v>28</v>
      </c>
      <c r="E8" s="12">
        <v>12</v>
      </c>
      <c r="F8" s="12" t="s">
        <v>15</v>
      </c>
      <c r="G8" s="12" t="s">
        <v>16</v>
      </c>
      <c r="H8" s="201"/>
      <c r="I8" s="264"/>
      <c r="J8" s="265"/>
      <c r="K8" s="265"/>
      <c r="L8" s="12" t="s">
        <v>29</v>
      </c>
      <c r="M8" s="12">
        <v>10</v>
      </c>
      <c r="N8" s="265"/>
      <c r="O8" s="205"/>
    </row>
    <row r="9" spans="1:15" s="12" customFormat="1">
      <c r="A9" s="34"/>
      <c r="B9" s="34"/>
      <c r="C9" s="34"/>
      <c r="D9" s="34"/>
      <c r="E9" s="34"/>
      <c r="F9" s="34"/>
      <c r="G9" s="34"/>
      <c r="H9" s="202"/>
      <c r="I9" s="264"/>
      <c r="J9" s="265"/>
      <c r="K9" s="265"/>
      <c r="L9" s="12" t="s">
        <v>30</v>
      </c>
      <c r="M9" s="12">
        <v>100</v>
      </c>
      <c r="N9" s="265"/>
      <c r="O9" s="205"/>
    </row>
    <row r="10" spans="1:15" s="12" customFormat="1" ht="16.75" customHeight="1">
      <c r="A10" s="135">
        <v>45386</v>
      </c>
      <c r="B10" s="12" t="s">
        <v>31</v>
      </c>
      <c r="C10" s="12" t="s">
        <v>32</v>
      </c>
      <c r="D10" s="12" t="s">
        <v>33</v>
      </c>
      <c r="E10" s="12">
        <v>9</v>
      </c>
      <c r="F10" s="12" t="s">
        <v>15</v>
      </c>
      <c r="G10" s="12" t="s">
        <v>16</v>
      </c>
      <c r="H10" s="202"/>
      <c r="I10" s="264"/>
      <c r="J10" s="265"/>
      <c r="K10" s="265"/>
      <c r="L10" s="12" t="s">
        <v>34</v>
      </c>
      <c r="M10" s="12">
        <v>199</v>
      </c>
      <c r="N10" s="265"/>
      <c r="O10" s="205"/>
    </row>
    <row r="11" spans="1:15" s="12" customFormat="1">
      <c r="A11" s="34"/>
      <c r="B11" s="34"/>
      <c r="C11" s="34"/>
      <c r="D11" s="34"/>
      <c r="E11" s="34"/>
      <c r="F11" s="34"/>
      <c r="G11" s="34"/>
      <c r="H11" s="202"/>
      <c r="I11" s="264"/>
      <c r="J11" s="265"/>
      <c r="K11" s="265"/>
      <c r="L11" s="12" t="s">
        <v>21</v>
      </c>
      <c r="M11" s="12">
        <v>12</v>
      </c>
      <c r="N11" s="265"/>
      <c r="O11" s="205"/>
    </row>
    <row r="12" spans="1:15" s="12" customFormat="1">
      <c r="A12" s="264">
        <v>45388</v>
      </c>
      <c r="B12" s="265" t="s">
        <v>35</v>
      </c>
      <c r="C12" s="265" t="s">
        <v>36</v>
      </c>
      <c r="D12" s="12" t="s">
        <v>37</v>
      </c>
      <c r="E12" s="265">
        <v>6</v>
      </c>
      <c r="F12" s="265" t="s">
        <v>15</v>
      </c>
      <c r="G12" s="265" t="s">
        <v>16</v>
      </c>
      <c r="H12" s="203"/>
      <c r="I12" s="34"/>
      <c r="J12" s="34"/>
      <c r="K12" s="34"/>
      <c r="L12" s="34"/>
      <c r="M12" s="34"/>
      <c r="N12" s="34"/>
      <c r="O12" s="206"/>
    </row>
    <row r="13" spans="1:15" s="12" customFormat="1">
      <c r="A13" s="264"/>
      <c r="B13" s="265"/>
      <c r="C13" s="265"/>
      <c r="D13" s="12" t="s">
        <v>38</v>
      </c>
      <c r="E13" s="265"/>
      <c r="F13" s="265"/>
      <c r="G13" s="265"/>
      <c r="H13" s="201"/>
      <c r="I13" s="264">
        <v>45404</v>
      </c>
      <c r="J13" s="265" t="s">
        <v>39</v>
      </c>
      <c r="K13" s="265" t="s">
        <v>18</v>
      </c>
      <c r="L13" s="12" t="s">
        <v>26</v>
      </c>
      <c r="M13" s="12">
        <v>14</v>
      </c>
      <c r="N13" s="265" t="s">
        <v>20</v>
      </c>
      <c r="O13" s="205"/>
    </row>
    <row r="14" spans="1:15" s="12" customFormat="1">
      <c r="A14" s="264"/>
      <c r="B14" s="265"/>
      <c r="C14" s="265"/>
      <c r="D14" s="12" t="s">
        <v>40</v>
      </c>
      <c r="E14" s="265"/>
      <c r="F14" s="265"/>
      <c r="G14" s="265"/>
      <c r="H14" s="201"/>
      <c r="I14" s="264"/>
      <c r="J14" s="265"/>
      <c r="K14" s="265"/>
      <c r="L14" s="12" t="s">
        <v>19</v>
      </c>
      <c r="M14" s="12">
        <v>8</v>
      </c>
      <c r="N14" s="265"/>
      <c r="O14" s="205"/>
    </row>
    <row r="15" spans="1:15" s="12" customFormat="1">
      <c r="A15" s="264"/>
      <c r="B15" s="265"/>
      <c r="C15" s="265"/>
      <c r="D15" s="12" t="s">
        <v>37</v>
      </c>
      <c r="E15" s="265">
        <v>6</v>
      </c>
      <c r="F15" s="265"/>
      <c r="G15" s="265"/>
      <c r="H15" s="201"/>
      <c r="I15" s="264"/>
      <c r="J15" s="265"/>
      <c r="K15" s="265"/>
      <c r="L15" s="12" t="s">
        <v>41</v>
      </c>
      <c r="M15" s="12">
        <v>1</v>
      </c>
      <c r="N15" s="265"/>
      <c r="O15" s="205"/>
    </row>
    <row r="16" spans="1:15" s="12" customFormat="1">
      <c r="A16" s="264"/>
      <c r="B16" s="265"/>
      <c r="C16" s="265"/>
      <c r="D16" s="12" t="s">
        <v>42</v>
      </c>
      <c r="E16" s="265"/>
      <c r="F16" s="265"/>
      <c r="G16" s="265"/>
      <c r="H16" s="201"/>
      <c r="I16" s="264"/>
      <c r="J16" s="265"/>
      <c r="K16" s="265"/>
      <c r="L16" s="12" t="s">
        <v>43</v>
      </c>
      <c r="M16" s="12">
        <v>4</v>
      </c>
      <c r="N16" s="265"/>
      <c r="O16" s="205"/>
    </row>
    <row r="17" spans="1:15" s="12" customFormat="1">
      <c r="A17" s="264"/>
      <c r="B17" s="265"/>
      <c r="C17" s="265"/>
      <c r="D17" s="12" t="s">
        <v>40</v>
      </c>
      <c r="E17" s="265"/>
      <c r="F17" s="265"/>
      <c r="G17" s="265"/>
      <c r="H17" s="201"/>
      <c r="I17" s="264"/>
      <c r="J17" s="265"/>
      <c r="K17" s="265"/>
      <c r="L17" s="12" t="s">
        <v>25</v>
      </c>
      <c r="M17" s="12">
        <v>5</v>
      </c>
      <c r="N17" s="265"/>
      <c r="O17" s="205"/>
    </row>
    <row r="18" spans="1:15" s="12" customFormat="1">
      <c r="A18" s="34"/>
      <c r="B18" s="34"/>
      <c r="C18" s="34"/>
      <c r="D18" s="34"/>
      <c r="E18" s="34"/>
      <c r="F18" s="34"/>
      <c r="G18" s="34"/>
      <c r="H18" s="202"/>
      <c r="I18" s="264"/>
      <c r="J18" s="265"/>
      <c r="K18" s="265"/>
      <c r="L18" s="12" t="s">
        <v>44</v>
      </c>
      <c r="M18" s="12">
        <v>4</v>
      </c>
      <c r="N18" s="265"/>
      <c r="O18" s="205"/>
    </row>
    <row r="19" spans="1:15" s="12" customFormat="1">
      <c r="A19" s="264">
        <v>45393</v>
      </c>
      <c r="B19" s="265" t="s">
        <v>45</v>
      </c>
      <c r="C19" s="265" t="s">
        <v>46</v>
      </c>
      <c r="D19" s="12" t="s">
        <v>47</v>
      </c>
      <c r="E19" s="12">
        <v>1</v>
      </c>
      <c r="F19" s="265" t="s">
        <v>15</v>
      </c>
      <c r="G19" s="265" t="s">
        <v>16</v>
      </c>
      <c r="H19" s="203"/>
      <c r="I19" s="34"/>
      <c r="J19" s="34"/>
      <c r="K19" s="34"/>
      <c r="L19" s="34"/>
      <c r="M19" s="34"/>
      <c r="N19" s="34"/>
      <c r="O19" s="206"/>
    </row>
    <row r="20" spans="1:15" s="12" customFormat="1" ht="13.25" customHeight="1">
      <c r="A20" s="264"/>
      <c r="B20" s="265"/>
      <c r="C20" s="265"/>
      <c r="D20" s="12" t="s">
        <v>48</v>
      </c>
      <c r="E20" s="12">
        <v>0.5</v>
      </c>
      <c r="F20" s="265"/>
      <c r="G20" s="265"/>
      <c r="H20" s="201"/>
      <c r="I20" s="264">
        <v>45412</v>
      </c>
      <c r="J20" s="265" t="s">
        <v>49</v>
      </c>
      <c r="K20" s="265" t="s">
        <v>18</v>
      </c>
      <c r="L20" s="12" t="s">
        <v>50</v>
      </c>
      <c r="M20" s="12">
        <v>1</v>
      </c>
      <c r="N20" s="265" t="s">
        <v>20</v>
      </c>
      <c r="O20" s="205"/>
    </row>
    <row r="21" spans="1:15" s="12" customFormat="1">
      <c r="A21" s="264"/>
      <c r="B21" s="265"/>
      <c r="C21" s="265"/>
      <c r="D21" s="12" t="s">
        <v>51</v>
      </c>
      <c r="E21" s="12">
        <v>1</v>
      </c>
      <c r="F21" s="265"/>
      <c r="G21" s="265"/>
      <c r="H21" s="201"/>
      <c r="I21" s="264"/>
      <c r="J21" s="265"/>
      <c r="K21" s="265"/>
      <c r="L21" s="12" t="s">
        <v>21</v>
      </c>
      <c r="M21" s="12">
        <v>14</v>
      </c>
      <c r="N21" s="265"/>
      <c r="O21" s="205"/>
    </row>
    <row r="22" spans="1:15" s="12" customFormat="1">
      <c r="A22" s="34"/>
      <c r="B22" s="34"/>
      <c r="C22" s="34"/>
      <c r="D22" s="34"/>
      <c r="E22" s="34"/>
      <c r="F22" s="34"/>
      <c r="G22" s="34"/>
      <c r="H22" s="202"/>
      <c r="I22" s="264"/>
      <c r="J22" s="265"/>
      <c r="K22" s="265"/>
      <c r="L22" s="12" t="s">
        <v>52</v>
      </c>
      <c r="M22" s="12">
        <v>10</v>
      </c>
      <c r="N22" s="265"/>
      <c r="O22" s="205"/>
    </row>
    <row r="23" spans="1:15" s="12" customFormat="1">
      <c r="A23" s="135">
        <v>45393</v>
      </c>
      <c r="B23" s="12">
        <v>691</v>
      </c>
      <c r="C23" s="12" t="s">
        <v>53</v>
      </c>
      <c r="D23" s="12" t="s">
        <v>54</v>
      </c>
      <c r="E23" s="12">
        <v>6</v>
      </c>
      <c r="F23" s="12" t="s">
        <v>15</v>
      </c>
      <c r="G23" s="12" t="s">
        <v>16</v>
      </c>
      <c r="H23" s="201"/>
      <c r="I23" s="264"/>
      <c r="J23" s="265"/>
      <c r="K23" s="265"/>
      <c r="L23" s="12" t="s">
        <v>55</v>
      </c>
      <c r="M23" s="12">
        <v>2</v>
      </c>
      <c r="N23" s="265"/>
      <c r="O23" s="205"/>
    </row>
    <row r="24" spans="1:15" s="12" customFormat="1">
      <c r="A24" s="34"/>
      <c r="B24" s="34"/>
      <c r="C24" s="34"/>
      <c r="D24" s="34"/>
      <c r="E24" s="34"/>
      <c r="F24" s="34"/>
      <c r="G24" s="34"/>
      <c r="H24" s="202"/>
      <c r="I24" s="264"/>
      <c r="J24" s="265"/>
      <c r="K24" s="265"/>
      <c r="L24" s="12" t="s">
        <v>26</v>
      </c>
      <c r="M24" s="12">
        <v>20</v>
      </c>
      <c r="N24" s="265"/>
      <c r="O24" s="205"/>
    </row>
    <row r="25" spans="1:15" s="12" customFormat="1">
      <c r="A25" s="264">
        <v>45394</v>
      </c>
      <c r="B25" s="265" t="s">
        <v>56</v>
      </c>
      <c r="C25" s="265" t="s">
        <v>57</v>
      </c>
      <c r="D25" s="12" t="s">
        <v>58</v>
      </c>
      <c r="E25" s="12">
        <v>199</v>
      </c>
      <c r="F25" s="265" t="s">
        <v>15</v>
      </c>
      <c r="G25" s="265" t="s">
        <v>16</v>
      </c>
      <c r="H25" s="201"/>
      <c r="I25" s="264"/>
      <c r="J25" s="265"/>
      <c r="K25" s="265"/>
      <c r="L25" s="12" t="s">
        <v>34</v>
      </c>
      <c r="M25" s="12">
        <v>30</v>
      </c>
      <c r="N25" s="265"/>
      <c r="O25" s="205"/>
    </row>
    <row r="26" spans="1:15" s="12" customFormat="1">
      <c r="A26" s="264"/>
      <c r="B26" s="265"/>
      <c r="C26" s="265"/>
      <c r="D26" s="12" t="s">
        <v>59</v>
      </c>
      <c r="E26" s="12">
        <v>100</v>
      </c>
      <c r="F26" s="265"/>
      <c r="G26" s="265"/>
      <c r="H26" s="201"/>
      <c r="I26" s="264"/>
      <c r="J26" s="265"/>
      <c r="K26" s="265"/>
      <c r="L26" s="12" t="s">
        <v>29</v>
      </c>
      <c r="M26" s="12">
        <v>2</v>
      </c>
      <c r="N26" s="265"/>
      <c r="O26" s="205"/>
    </row>
    <row r="27" spans="1:15" s="12" customFormat="1">
      <c r="A27" s="264"/>
      <c r="B27" s="265"/>
      <c r="C27" s="265"/>
      <c r="D27" s="12" t="s">
        <v>60</v>
      </c>
      <c r="E27" s="12">
        <v>10</v>
      </c>
      <c r="F27" s="265"/>
      <c r="G27" s="265"/>
      <c r="H27" s="203"/>
      <c r="I27" s="34"/>
      <c r="J27" s="34"/>
      <c r="K27" s="34"/>
      <c r="L27" s="34"/>
      <c r="M27" s="34"/>
      <c r="N27" s="34"/>
      <c r="O27" s="206"/>
    </row>
    <row r="28" spans="1:15" s="12" customFormat="1">
      <c r="A28" s="34"/>
      <c r="B28" s="34"/>
      <c r="C28" s="34"/>
      <c r="D28" s="34"/>
      <c r="E28" s="34"/>
      <c r="F28" s="34"/>
      <c r="G28" s="34"/>
      <c r="H28" s="202"/>
      <c r="I28" s="264">
        <v>45412</v>
      </c>
      <c r="J28" s="265" t="s">
        <v>61</v>
      </c>
      <c r="K28" s="265" t="s">
        <v>18</v>
      </c>
      <c r="L28" s="12" t="s">
        <v>43</v>
      </c>
      <c r="M28" s="12">
        <v>2</v>
      </c>
      <c r="N28" s="265" t="s">
        <v>20</v>
      </c>
      <c r="O28" s="205"/>
    </row>
    <row r="29" spans="1:15" s="12" customFormat="1">
      <c r="A29" s="135">
        <v>45394</v>
      </c>
      <c r="B29" s="12">
        <v>5</v>
      </c>
      <c r="C29" s="12" t="s">
        <v>62</v>
      </c>
      <c r="D29" s="12" t="s">
        <v>63</v>
      </c>
      <c r="E29" s="12">
        <v>5</v>
      </c>
      <c r="F29" s="12" t="s">
        <v>15</v>
      </c>
      <c r="G29" s="12" t="s">
        <v>16</v>
      </c>
      <c r="H29" s="201"/>
      <c r="I29" s="264"/>
      <c r="J29" s="265"/>
      <c r="K29" s="265"/>
      <c r="L29" s="12" t="s">
        <v>44</v>
      </c>
      <c r="M29" s="12">
        <v>1</v>
      </c>
      <c r="N29" s="265"/>
      <c r="O29" s="205"/>
    </row>
    <row r="30" spans="1:15" s="12" customFormat="1">
      <c r="A30" s="34"/>
      <c r="B30" s="34"/>
      <c r="C30" s="34"/>
      <c r="D30" s="34"/>
      <c r="E30" s="34"/>
      <c r="F30" s="34"/>
      <c r="G30" s="34"/>
      <c r="H30" s="202"/>
      <c r="I30" s="264"/>
      <c r="J30" s="265"/>
      <c r="K30" s="265"/>
      <c r="L30" s="12" t="s">
        <v>25</v>
      </c>
      <c r="M30" s="12">
        <v>10</v>
      </c>
      <c r="N30" s="265"/>
      <c r="O30" s="205"/>
    </row>
    <row r="31" spans="1:15" s="12" customFormat="1">
      <c r="A31" s="264">
        <v>45397</v>
      </c>
      <c r="B31" s="265" t="s">
        <v>64</v>
      </c>
      <c r="C31" s="265" t="s">
        <v>32</v>
      </c>
      <c r="D31" s="12" t="s">
        <v>33</v>
      </c>
      <c r="E31" s="12">
        <v>10</v>
      </c>
      <c r="F31" s="265" t="s">
        <v>15</v>
      </c>
      <c r="G31" s="265" t="s">
        <v>16</v>
      </c>
      <c r="H31" s="201"/>
      <c r="I31" s="264"/>
      <c r="J31" s="265"/>
      <c r="K31" s="265"/>
      <c r="L31" s="12" t="s">
        <v>26</v>
      </c>
      <c r="M31" s="12">
        <v>12</v>
      </c>
      <c r="N31" s="265"/>
      <c r="O31" s="205"/>
    </row>
    <row r="32" spans="1:15" s="12" customFormat="1">
      <c r="A32" s="264"/>
      <c r="B32" s="265"/>
      <c r="C32" s="265"/>
      <c r="D32" s="12" t="s">
        <v>65</v>
      </c>
      <c r="E32" s="12">
        <v>30</v>
      </c>
      <c r="F32" s="265"/>
      <c r="G32" s="265"/>
      <c r="H32" s="201"/>
      <c r="I32" s="264"/>
      <c r="J32" s="265"/>
      <c r="K32" s="265"/>
      <c r="L32" s="12" t="s">
        <v>66</v>
      </c>
      <c r="M32" s="12">
        <v>15</v>
      </c>
      <c r="N32" s="265"/>
      <c r="O32" s="205"/>
    </row>
    <row r="33" spans="1:15" s="12" customFormat="1">
      <c r="A33" s="264"/>
      <c r="B33" s="265"/>
      <c r="C33" s="265"/>
      <c r="D33" s="12" t="s">
        <v>67</v>
      </c>
      <c r="E33" s="12">
        <v>3</v>
      </c>
      <c r="F33" s="265"/>
      <c r="G33" s="265"/>
      <c r="H33" s="203"/>
      <c r="I33" s="34"/>
      <c r="J33" s="34"/>
      <c r="K33" s="34"/>
      <c r="L33" s="34"/>
      <c r="M33" s="34"/>
      <c r="N33" s="34"/>
      <c r="O33" s="206"/>
    </row>
    <row r="34" spans="1:15" s="12" customFormat="1">
      <c r="A34" s="264"/>
      <c r="B34" s="265"/>
      <c r="C34" s="265"/>
      <c r="D34" s="12" t="s">
        <v>68</v>
      </c>
      <c r="E34" s="12">
        <v>8</v>
      </c>
      <c r="F34" s="265"/>
      <c r="G34" s="265"/>
      <c r="H34" s="201"/>
      <c r="I34" s="264">
        <v>45418</v>
      </c>
      <c r="J34" s="265" t="s">
        <v>69</v>
      </c>
      <c r="K34" s="265" t="s">
        <v>18</v>
      </c>
      <c r="L34" s="12" t="s">
        <v>70</v>
      </c>
      <c r="M34" s="12">
        <v>5</v>
      </c>
      <c r="N34" s="265" t="s">
        <v>20</v>
      </c>
      <c r="O34" s="205"/>
    </row>
    <row r="35" spans="1:15" s="12" customFormat="1">
      <c r="A35" s="34"/>
      <c r="B35" s="34"/>
      <c r="C35" s="34"/>
      <c r="D35" s="34"/>
      <c r="E35" s="34"/>
      <c r="F35" s="34"/>
      <c r="G35" s="34"/>
      <c r="H35" s="202"/>
      <c r="I35" s="264"/>
      <c r="J35" s="265"/>
      <c r="K35" s="265"/>
      <c r="L35" s="12" t="s">
        <v>21</v>
      </c>
      <c r="M35" s="12">
        <v>5</v>
      </c>
      <c r="N35" s="265"/>
      <c r="O35" s="205"/>
    </row>
    <row r="36" spans="1:15" s="12" customFormat="1">
      <c r="A36" s="135">
        <v>45397</v>
      </c>
      <c r="B36" s="12" t="s">
        <v>71</v>
      </c>
      <c r="C36" s="12" t="s">
        <v>72</v>
      </c>
      <c r="D36" s="12" t="s">
        <v>73</v>
      </c>
      <c r="E36" s="12">
        <v>24</v>
      </c>
      <c r="F36" s="12" t="s">
        <v>15</v>
      </c>
      <c r="G36" s="12" t="s">
        <v>16</v>
      </c>
      <c r="H36" s="201"/>
      <c r="I36" s="264"/>
      <c r="J36" s="265"/>
      <c r="K36" s="265"/>
      <c r="L36" s="12" t="s">
        <v>44</v>
      </c>
      <c r="M36" s="12">
        <v>1</v>
      </c>
      <c r="N36" s="265"/>
      <c r="O36" s="205"/>
    </row>
    <row r="37" spans="1:15" s="12" customFormat="1">
      <c r="A37" s="34"/>
      <c r="B37" s="34"/>
      <c r="C37" s="34"/>
      <c r="D37" s="34"/>
      <c r="E37" s="34"/>
      <c r="F37" s="34"/>
      <c r="G37" s="34"/>
      <c r="H37" s="202"/>
      <c r="I37" s="264"/>
      <c r="J37" s="265"/>
      <c r="K37" s="265"/>
      <c r="L37" s="12" t="s">
        <v>74</v>
      </c>
      <c r="M37" s="12">
        <v>4</v>
      </c>
      <c r="N37" s="265"/>
      <c r="O37" s="205"/>
    </row>
    <row r="38" spans="1:15" s="12" customFormat="1">
      <c r="A38" s="264">
        <v>45398</v>
      </c>
      <c r="B38" s="265" t="s">
        <v>75</v>
      </c>
      <c r="C38" s="265" t="s">
        <v>46</v>
      </c>
      <c r="D38" s="12" t="s">
        <v>47</v>
      </c>
      <c r="E38" s="12">
        <v>3</v>
      </c>
      <c r="F38" s="265" t="s">
        <v>15</v>
      </c>
      <c r="G38" s="265" t="s">
        <v>16</v>
      </c>
      <c r="H38" s="203"/>
      <c r="I38" s="34"/>
      <c r="J38" s="34"/>
      <c r="K38" s="34"/>
      <c r="L38" s="34"/>
      <c r="M38" s="34"/>
      <c r="N38" s="34"/>
      <c r="O38" s="206"/>
    </row>
    <row r="39" spans="1:15" s="12" customFormat="1">
      <c r="A39" s="264"/>
      <c r="B39" s="265"/>
      <c r="C39" s="265"/>
      <c r="D39" s="12" t="s">
        <v>76</v>
      </c>
      <c r="E39" s="12">
        <v>6</v>
      </c>
      <c r="F39" s="265"/>
      <c r="G39" s="265"/>
      <c r="H39" s="201"/>
      <c r="I39" s="264">
        <v>45436</v>
      </c>
      <c r="J39" s="265" t="s">
        <v>77</v>
      </c>
      <c r="K39" s="265" t="s">
        <v>18</v>
      </c>
      <c r="L39" s="12" t="s">
        <v>74</v>
      </c>
      <c r="M39" s="12">
        <v>2</v>
      </c>
      <c r="N39" s="265" t="s">
        <v>20</v>
      </c>
      <c r="O39" s="205"/>
    </row>
    <row r="40" spans="1:15" s="12" customFormat="1">
      <c r="A40" s="264"/>
      <c r="B40" s="265"/>
      <c r="C40" s="265"/>
      <c r="D40" s="12" t="s">
        <v>78</v>
      </c>
      <c r="E40" s="12">
        <v>1</v>
      </c>
      <c r="F40" s="265"/>
      <c r="G40" s="265"/>
      <c r="H40" s="201"/>
      <c r="I40" s="264"/>
      <c r="J40" s="265"/>
      <c r="K40" s="265"/>
      <c r="L40" s="12" t="s">
        <v>34</v>
      </c>
      <c r="M40" s="12">
        <v>1</v>
      </c>
      <c r="N40" s="265"/>
      <c r="O40" s="205"/>
    </row>
    <row r="41" spans="1:15" s="12" customFormat="1">
      <c r="A41" s="34"/>
      <c r="B41" s="34"/>
      <c r="C41" s="34"/>
      <c r="D41" s="34"/>
      <c r="E41" s="34"/>
      <c r="F41" s="34"/>
      <c r="G41" s="34"/>
      <c r="H41" s="202"/>
      <c r="I41" s="264"/>
      <c r="J41" s="265"/>
      <c r="K41" s="265"/>
      <c r="L41" s="12" t="s">
        <v>79</v>
      </c>
      <c r="M41" s="12">
        <v>2</v>
      </c>
      <c r="N41" s="265"/>
      <c r="O41" s="205"/>
    </row>
    <row r="42" spans="1:15" s="12" customFormat="1">
      <c r="A42" s="264">
        <v>45401</v>
      </c>
      <c r="B42" s="265" t="s">
        <v>80</v>
      </c>
      <c r="C42" s="265" t="s">
        <v>32</v>
      </c>
      <c r="D42" s="12" t="s">
        <v>81</v>
      </c>
      <c r="E42" s="12">
        <v>5</v>
      </c>
      <c r="F42" s="265" t="s">
        <v>15</v>
      </c>
      <c r="G42" s="265" t="s">
        <v>16</v>
      </c>
      <c r="H42" s="201"/>
      <c r="I42" s="264"/>
      <c r="J42" s="265"/>
      <c r="K42" s="265"/>
      <c r="L42" s="12" t="s">
        <v>82</v>
      </c>
      <c r="M42" s="12">
        <v>5</v>
      </c>
      <c r="N42" s="265"/>
      <c r="O42" s="205"/>
    </row>
    <row r="43" spans="1:15" s="12" customFormat="1">
      <c r="A43" s="264"/>
      <c r="B43" s="265"/>
      <c r="C43" s="265"/>
      <c r="D43" s="12" t="s">
        <v>83</v>
      </c>
      <c r="E43" s="12">
        <v>12</v>
      </c>
      <c r="F43" s="265"/>
      <c r="G43" s="265"/>
      <c r="H43" s="201"/>
      <c r="I43" s="264"/>
      <c r="J43" s="265"/>
      <c r="K43" s="265"/>
      <c r="L43" s="12" t="s">
        <v>25</v>
      </c>
      <c r="M43" s="12">
        <v>1</v>
      </c>
      <c r="N43" s="265"/>
      <c r="O43" s="205"/>
    </row>
    <row r="44" spans="1:15" s="12" customFormat="1">
      <c r="A44" s="264"/>
      <c r="B44" s="265"/>
      <c r="C44" s="265"/>
      <c r="D44" s="12" t="s">
        <v>68</v>
      </c>
      <c r="E44" s="12">
        <v>2</v>
      </c>
      <c r="F44" s="265"/>
      <c r="G44" s="265"/>
      <c r="H44" s="203"/>
      <c r="I44" s="34"/>
      <c r="J44" s="34"/>
      <c r="K44" s="34"/>
      <c r="L44" s="34"/>
      <c r="M44" s="34"/>
      <c r="N44" s="34"/>
      <c r="O44" s="206"/>
    </row>
    <row r="45" spans="1:15" s="12" customFormat="1">
      <c r="A45" s="264"/>
      <c r="B45" s="265"/>
      <c r="C45" s="265"/>
      <c r="D45" s="12" t="s">
        <v>68</v>
      </c>
      <c r="E45" s="12">
        <v>12</v>
      </c>
      <c r="F45" s="265"/>
      <c r="G45" s="265"/>
      <c r="H45" s="201"/>
      <c r="I45" s="264">
        <v>45436</v>
      </c>
      <c r="J45" s="265" t="s">
        <v>84</v>
      </c>
      <c r="K45" s="265" t="s">
        <v>18</v>
      </c>
      <c r="L45" s="12" t="s">
        <v>44</v>
      </c>
      <c r="M45" s="12">
        <v>2</v>
      </c>
      <c r="N45" s="265" t="s">
        <v>20</v>
      </c>
      <c r="O45" s="205"/>
    </row>
    <row r="46" spans="1:15" s="12" customFormat="1">
      <c r="A46" s="34"/>
      <c r="B46" s="34"/>
      <c r="C46" s="34"/>
      <c r="D46" s="34"/>
      <c r="E46" s="34"/>
      <c r="F46" s="34"/>
      <c r="G46" s="34"/>
      <c r="H46" s="202"/>
      <c r="I46" s="264"/>
      <c r="J46" s="265"/>
      <c r="K46" s="265"/>
      <c r="L46" s="12" t="s">
        <v>19</v>
      </c>
      <c r="M46" s="12">
        <v>1</v>
      </c>
      <c r="N46" s="265"/>
      <c r="O46" s="205"/>
    </row>
    <row r="47" spans="1:15" s="12" customFormat="1">
      <c r="A47" s="135">
        <v>45405</v>
      </c>
      <c r="B47" s="12" t="s">
        <v>85</v>
      </c>
      <c r="C47" s="12" t="s">
        <v>23</v>
      </c>
      <c r="D47" s="12" t="s">
        <v>86</v>
      </c>
      <c r="E47" s="12">
        <v>1</v>
      </c>
      <c r="F47" s="12" t="s">
        <v>15</v>
      </c>
      <c r="G47" s="12" t="s">
        <v>16</v>
      </c>
      <c r="H47" s="203"/>
      <c r="I47" s="34"/>
      <c r="J47" s="34"/>
      <c r="K47" s="34"/>
      <c r="L47" s="34"/>
      <c r="M47" s="34"/>
      <c r="N47" s="34"/>
      <c r="O47" s="206"/>
    </row>
    <row r="48" spans="1:15" s="12" customFormat="1">
      <c r="A48" s="34"/>
      <c r="B48" s="34"/>
      <c r="C48" s="34"/>
      <c r="D48" s="34"/>
      <c r="E48" s="34"/>
      <c r="F48" s="34"/>
      <c r="G48" s="34"/>
      <c r="H48" s="202"/>
      <c r="I48" s="264">
        <v>45440</v>
      </c>
      <c r="J48" s="265" t="s">
        <v>87</v>
      </c>
      <c r="K48" s="265" t="s">
        <v>18</v>
      </c>
      <c r="L48" s="12" t="s">
        <v>21</v>
      </c>
      <c r="M48" s="12">
        <v>8</v>
      </c>
      <c r="N48" s="265" t="s">
        <v>20</v>
      </c>
      <c r="O48" s="205"/>
    </row>
    <row r="49" spans="1:15" s="12" customFormat="1">
      <c r="A49" s="135">
        <v>45405</v>
      </c>
      <c r="B49" s="12" t="s">
        <v>88</v>
      </c>
      <c r="C49" s="12" t="s">
        <v>13</v>
      </c>
      <c r="D49" s="12" t="s">
        <v>14</v>
      </c>
      <c r="E49" s="12">
        <v>1</v>
      </c>
      <c r="F49" s="12" t="s">
        <v>15</v>
      </c>
      <c r="G49" s="12" t="s">
        <v>16</v>
      </c>
      <c r="H49" s="202"/>
      <c r="I49" s="264"/>
      <c r="J49" s="265"/>
      <c r="K49" s="265"/>
      <c r="L49" s="12" t="s">
        <v>25</v>
      </c>
      <c r="M49" s="12">
        <v>9</v>
      </c>
      <c r="N49" s="265"/>
      <c r="O49" s="205"/>
    </row>
    <row r="50" spans="1:15" s="12" customFormat="1">
      <c r="A50" s="34"/>
      <c r="B50" s="34"/>
      <c r="C50" s="34"/>
      <c r="D50" s="34"/>
      <c r="E50" s="34"/>
      <c r="F50" s="34"/>
      <c r="G50" s="34"/>
      <c r="H50" s="202"/>
      <c r="I50" s="264"/>
      <c r="J50" s="265"/>
      <c r="K50" s="265"/>
      <c r="L50" s="12" t="s">
        <v>70</v>
      </c>
      <c r="M50" s="12">
        <v>5</v>
      </c>
      <c r="N50" s="265"/>
      <c r="O50" s="205"/>
    </row>
    <row r="51" spans="1:15" s="12" customFormat="1" ht="29">
      <c r="A51" s="135">
        <v>45407</v>
      </c>
      <c r="B51" s="12" t="s">
        <v>89</v>
      </c>
      <c r="C51" s="12" t="s">
        <v>32</v>
      </c>
      <c r="D51" s="12" t="s">
        <v>83</v>
      </c>
      <c r="E51" s="12">
        <v>25</v>
      </c>
      <c r="F51" s="12" t="s">
        <v>15</v>
      </c>
      <c r="G51" s="12" t="s">
        <v>90</v>
      </c>
      <c r="H51" s="201"/>
      <c r="I51" s="264"/>
      <c r="J51" s="265"/>
      <c r="K51" s="265"/>
      <c r="L51" s="12" t="s">
        <v>26</v>
      </c>
      <c r="M51" s="12">
        <v>12</v>
      </c>
      <c r="N51" s="265"/>
      <c r="O51" s="205"/>
    </row>
    <row r="52" spans="1:15" s="12" customFormat="1">
      <c r="A52" s="34"/>
      <c r="B52" s="34"/>
      <c r="C52" s="34"/>
      <c r="D52" s="34"/>
      <c r="E52" s="34"/>
      <c r="F52" s="34"/>
      <c r="G52" s="34"/>
      <c r="H52" s="202"/>
      <c r="I52" s="264"/>
      <c r="J52" s="265"/>
      <c r="K52" s="265"/>
      <c r="L52" s="12" t="s">
        <v>52</v>
      </c>
      <c r="M52" s="12">
        <v>14</v>
      </c>
      <c r="N52" s="265"/>
      <c r="O52" s="205"/>
    </row>
    <row r="53" spans="1:15" s="12" customFormat="1">
      <c r="A53" s="264">
        <v>45409</v>
      </c>
      <c r="B53" s="265">
        <v>6547</v>
      </c>
      <c r="C53" s="265" t="s">
        <v>91</v>
      </c>
      <c r="D53" s="12" t="s">
        <v>92</v>
      </c>
      <c r="E53" s="12">
        <v>8</v>
      </c>
      <c r="F53" s="265" t="s">
        <v>15</v>
      </c>
      <c r="G53" s="265" t="s">
        <v>90</v>
      </c>
      <c r="H53" s="201"/>
      <c r="I53" s="264"/>
      <c r="J53" s="265"/>
      <c r="K53" s="265"/>
      <c r="L53" s="12" t="s">
        <v>93</v>
      </c>
      <c r="M53" s="12">
        <v>50</v>
      </c>
      <c r="N53" s="265"/>
      <c r="O53" s="205"/>
    </row>
    <row r="54" spans="1:15" s="12" customFormat="1">
      <c r="A54" s="264"/>
      <c r="B54" s="265"/>
      <c r="C54" s="265"/>
      <c r="D54" s="12" t="s">
        <v>94</v>
      </c>
      <c r="E54" s="12">
        <v>6</v>
      </c>
      <c r="F54" s="265"/>
      <c r="G54" s="265"/>
      <c r="H54" s="203"/>
      <c r="I54" s="34"/>
      <c r="J54" s="34"/>
      <c r="K54" s="34"/>
      <c r="L54" s="34"/>
      <c r="M54" s="34"/>
      <c r="N54" s="34"/>
      <c r="O54" s="206"/>
    </row>
    <row r="55" spans="1:15" s="12" customFormat="1">
      <c r="A55" s="264"/>
      <c r="B55" s="265"/>
      <c r="C55" s="265"/>
      <c r="D55" s="12" t="s">
        <v>95</v>
      </c>
      <c r="E55" s="12">
        <v>6</v>
      </c>
      <c r="F55" s="265"/>
      <c r="G55" s="265"/>
      <c r="H55" s="201"/>
      <c r="I55" s="266">
        <v>45440</v>
      </c>
      <c r="J55" s="269" t="s">
        <v>96</v>
      </c>
      <c r="K55" s="269" t="s">
        <v>18</v>
      </c>
      <c r="L55" s="207" t="s">
        <v>19</v>
      </c>
      <c r="M55" s="134">
        <v>9</v>
      </c>
      <c r="N55" s="269" t="s">
        <v>20</v>
      </c>
      <c r="O55" s="205"/>
    </row>
    <row r="56" spans="1:15" s="12" customFormat="1" ht="15" customHeight="1">
      <c r="A56" s="264"/>
      <c r="B56" s="265"/>
      <c r="C56" s="265"/>
      <c r="D56" s="12" t="s">
        <v>97</v>
      </c>
      <c r="E56" s="12" t="s">
        <v>98</v>
      </c>
      <c r="F56" s="265"/>
      <c r="G56" s="265"/>
      <c r="H56" s="201"/>
      <c r="I56" s="268"/>
      <c r="J56" s="271"/>
      <c r="K56" s="278"/>
      <c r="L56" s="208" t="s">
        <v>99</v>
      </c>
      <c r="M56" s="134">
        <v>16</v>
      </c>
      <c r="N56" s="271"/>
      <c r="O56" s="205"/>
    </row>
    <row r="57" spans="1:15" s="12" customFormat="1">
      <c r="A57" s="264"/>
      <c r="B57" s="265"/>
      <c r="C57" s="265"/>
      <c r="D57" s="12" t="s">
        <v>100</v>
      </c>
      <c r="E57" s="12" t="s">
        <v>101</v>
      </c>
      <c r="F57" s="265"/>
      <c r="G57" s="265"/>
      <c r="H57" s="201"/>
      <c r="L57" s="133"/>
      <c r="O57" s="205"/>
    </row>
    <row r="58" spans="1:15" s="12" customFormat="1">
      <c r="A58" s="34"/>
      <c r="B58" s="34"/>
      <c r="C58" s="34"/>
      <c r="D58" s="34"/>
      <c r="E58" s="34"/>
      <c r="F58" s="34"/>
      <c r="G58" s="34"/>
      <c r="H58" s="202"/>
      <c r="O58" s="205"/>
    </row>
    <row r="59" spans="1:15" s="12" customFormat="1">
      <c r="A59" s="264">
        <v>45411</v>
      </c>
      <c r="B59" s="265" t="s">
        <v>102</v>
      </c>
      <c r="C59" s="265" t="s">
        <v>32</v>
      </c>
      <c r="D59" s="12" t="s">
        <v>65</v>
      </c>
      <c r="E59" s="12">
        <v>11</v>
      </c>
      <c r="F59" s="265" t="s">
        <v>15</v>
      </c>
      <c r="G59" s="265" t="s">
        <v>90</v>
      </c>
      <c r="H59" s="201"/>
      <c r="O59" s="205"/>
    </row>
    <row r="60" spans="1:15" s="12" customFormat="1">
      <c r="A60" s="264"/>
      <c r="B60" s="265"/>
      <c r="C60" s="265"/>
      <c r="D60" s="12" t="s">
        <v>68</v>
      </c>
      <c r="E60" s="12">
        <v>12</v>
      </c>
      <c r="F60" s="265"/>
      <c r="G60" s="265"/>
      <c r="H60" s="201"/>
      <c r="O60" s="205"/>
    </row>
    <row r="61" spans="1:15" s="12" customFormat="1">
      <c r="A61" s="264"/>
      <c r="B61" s="265"/>
      <c r="C61" s="265"/>
      <c r="D61" s="12" t="s">
        <v>68</v>
      </c>
      <c r="E61" s="12">
        <v>20</v>
      </c>
      <c r="F61" s="265"/>
      <c r="G61" s="265"/>
      <c r="H61" s="201"/>
      <c r="O61" s="205"/>
    </row>
    <row r="62" spans="1:15" s="12" customFormat="1">
      <c r="A62" s="264"/>
      <c r="B62" s="265"/>
      <c r="C62" s="265"/>
      <c r="D62" s="12" t="s">
        <v>103</v>
      </c>
      <c r="E62" s="12">
        <v>2</v>
      </c>
      <c r="F62" s="265"/>
      <c r="G62" s="265"/>
      <c r="H62" s="201"/>
      <c r="O62" s="205"/>
    </row>
    <row r="63" spans="1:15" s="12" customFormat="1">
      <c r="A63" s="264"/>
      <c r="B63" s="265"/>
      <c r="C63" s="265"/>
      <c r="D63" s="12" t="s">
        <v>81</v>
      </c>
      <c r="E63" s="12">
        <v>1</v>
      </c>
      <c r="F63" s="265"/>
      <c r="G63" s="265"/>
      <c r="H63" s="201"/>
      <c r="O63" s="205"/>
    </row>
    <row r="64" spans="1:15" s="12" customFormat="1">
      <c r="A64" s="264"/>
      <c r="B64" s="265"/>
      <c r="C64" s="265"/>
      <c r="D64" s="12" t="s">
        <v>104</v>
      </c>
      <c r="E64" s="12">
        <v>10</v>
      </c>
      <c r="F64" s="265"/>
      <c r="G64" s="265"/>
      <c r="H64" s="201"/>
      <c r="O64" s="205"/>
    </row>
    <row r="65" spans="1:15" s="12" customFormat="1">
      <c r="A65" s="34"/>
      <c r="B65" s="34"/>
      <c r="C65" s="34"/>
      <c r="D65" s="34"/>
      <c r="E65" s="34"/>
      <c r="F65" s="34"/>
      <c r="G65" s="34"/>
      <c r="H65" s="202"/>
      <c r="O65" s="205"/>
    </row>
    <row r="66" spans="1:15" s="12" customFormat="1">
      <c r="A66" s="264">
        <v>45412</v>
      </c>
      <c r="B66" s="265" t="s">
        <v>105</v>
      </c>
      <c r="C66" s="265" t="s">
        <v>36</v>
      </c>
      <c r="D66" s="12" t="s">
        <v>37</v>
      </c>
      <c r="E66" s="265">
        <v>6</v>
      </c>
      <c r="F66" s="265" t="s">
        <v>15</v>
      </c>
      <c r="G66" s="265" t="s">
        <v>90</v>
      </c>
      <c r="H66" s="201"/>
      <c r="O66" s="205"/>
    </row>
    <row r="67" spans="1:15" s="12" customFormat="1">
      <c r="A67" s="264"/>
      <c r="B67" s="265"/>
      <c r="C67" s="265"/>
      <c r="D67" s="12" t="s">
        <v>38</v>
      </c>
      <c r="E67" s="265"/>
      <c r="F67" s="265"/>
      <c r="G67" s="265"/>
      <c r="H67" s="201"/>
      <c r="O67" s="205"/>
    </row>
    <row r="68" spans="1:15" s="12" customFormat="1">
      <c r="A68" s="264"/>
      <c r="B68" s="265"/>
      <c r="C68" s="265"/>
      <c r="D68" s="12" t="s">
        <v>106</v>
      </c>
      <c r="E68" s="265"/>
      <c r="F68" s="265"/>
      <c r="G68" s="265"/>
      <c r="H68" s="201"/>
      <c r="O68" s="205"/>
    </row>
    <row r="69" spans="1:15" s="12" customFormat="1">
      <c r="A69" s="264"/>
      <c r="B69" s="265"/>
      <c r="C69" s="265"/>
      <c r="D69" s="12" t="s">
        <v>37</v>
      </c>
      <c r="E69" s="265">
        <v>6</v>
      </c>
      <c r="F69" s="265"/>
      <c r="G69" s="265"/>
      <c r="H69" s="201"/>
      <c r="O69" s="205"/>
    </row>
    <row r="70" spans="1:15" s="12" customFormat="1">
      <c r="A70" s="264"/>
      <c r="B70" s="265"/>
      <c r="C70" s="265"/>
      <c r="D70" s="12" t="s">
        <v>42</v>
      </c>
      <c r="E70" s="265"/>
      <c r="F70" s="265"/>
      <c r="G70" s="265"/>
      <c r="H70" s="201"/>
      <c r="O70" s="205"/>
    </row>
    <row r="71" spans="1:15" s="12" customFormat="1">
      <c r="A71" s="264"/>
      <c r="B71" s="265"/>
      <c r="C71" s="265"/>
      <c r="D71" s="12" t="s">
        <v>106</v>
      </c>
      <c r="E71" s="265"/>
      <c r="F71" s="265"/>
      <c r="G71" s="265"/>
      <c r="H71" s="201"/>
      <c r="O71" s="205"/>
    </row>
    <row r="72" spans="1:15" s="12" customFormat="1">
      <c r="A72" s="34"/>
      <c r="B72" s="34"/>
      <c r="C72" s="34"/>
      <c r="D72" s="34"/>
      <c r="E72" s="34"/>
      <c r="F72" s="34"/>
      <c r="G72" s="34"/>
      <c r="H72" s="202"/>
      <c r="O72" s="205"/>
    </row>
    <row r="73" spans="1:15" s="12" customFormat="1">
      <c r="A73" s="264">
        <v>45412</v>
      </c>
      <c r="B73" s="265" t="s">
        <v>107</v>
      </c>
      <c r="C73" s="265" t="s">
        <v>57</v>
      </c>
      <c r="D73" s="12" t="s">
        <v>108</v>
      </c>
      <c r="E73" s="12">
        <v>30</v>
      </c>
      <c r="F73" s="265" t="s">
        <v>15</v>
      </c>
      <c r="G73" s="265" t="s">
        <v>90</v>
      </c>
      <c r="H73" s="201"/>
      <c r="O73" s="205"/>
    </row>
    <row r="74" spans="1:15" s="12" customFormat="1">
      <c r="A74" s="264"/>
      <c r="B74" s="265"/>
      <c r="C74" s="265"/>
      <c r="D74" s="12" t="s">
        <v>60</v>
      </c>
      <c r="E74" s="12">
        <v>2</v>
      </c>
      <c r="F74" s="265"/>
      <c r="G74" s="265"/>
      <c r="H74" s="201"/>
      <c r="O74" s="205"/>
    </row>
    <row r="75" spans="1:15" s="12" customFormat="1">
      <c r="A75" s="34"/>
      <c r="B75" s="34"/>
      <c r="C75" s="34"/>
      <c r="D75" s="34"/>
      <c r="E75" s="34"/>
      <c r="F75" s="34"/>
      <c r="G75" s="34"/>
      <c r="H75" s="202"/>
      <c r="O75" s="205"/>
    </row>
    <row r="76" spans="1:15" s="12" customFormat="1">
      <c r="A76" s="135">
        <v>45414</v>
      </c>
      <c r="B76" s="12" t="s">
        <v>109</v>
      </c>
      <c r="C76" s="12" t="s">
        <v>110</v>
      </c>
      <c r="D76" s="12" t="s">
        <v>111</v>
      </c>
      <c r="E76" s="12" t="s">
        <v>112</v>
      </c>
      <c r="F76" s="12" t="s">
        <v>20</v>
      </c>
      <c r="G76" s="12" t="s">
        <v>90</v>
      </c>
      <c r="H76" s="201"/>
      <c r="O76" s="205"/>
    </row>
    <row r="77" spans="1:15" s="12" customFormat="1">
      <c r="A77" s="34"/>
      <c r="B77" s="34"/>
      <c r="C77" s="34"/>
      <c r="D77" s="34"/>
      <c r="E77" s="34"/>
      <c r="F77" s="34"/>
      <c r="G77" s="34"/>
      <c r="H77" s="202"/>
      <c r="O77" s="205"/>
    </row>
    <row r="78" spans="1:15" s="12" customFormat="1">
      <c r="A78" s="135">
        <v>45414</v>
      </c>
      <c r="B78" s="12">
        <v>2242</v>
      </c>
      <c r="C78" s="12" t="s">
        <v>27</v>
      </c>
      <c r="D78" s="12" t="s">
        <v>113</v>
      </c>
      <c r="E78" s="12">
        <v>12</v>
      </c>
      <c r="F78" s="12" t="s">
        <v>15</v>
      </c>
      <c r="G78" s="12" t="s">
        <v>90</v>
      </c>
      <c r="H78" s="201"/>
      <c r="O78" s="205"/>
    </row>
    <row r="79" spans="1:15" s="12" customFormat="1">
      <c r="A79" s="34"/>
      <c r="B79" s="34"/>
      <c r="C79" s="34"/>
      <c r="D79" s="34"/>
      <c r="E79" s="34"/>
      <c r="F79" s="34"/>
      <c r="G79" s="34"/>
      <c r="H79" s="202"/>
      <c r="O79" s="205"/>
    </row>
    <row r="80" spans="1:15" s="12" customFormat="1">
      <c r="A80" s="135">
        <v>45415</v>
      </c>
      <c r="B80" s="12">
        <v>48</v>
      </c>
      <c r="C80" s="12" t="s">
        <v>62</v>
      </c>
      <c r="D80" s="12" t="s">
        <v>114</v>
      </c>
      <c r="E80" s="12">
        <v>6</v>
      </c>
      <c r="F80" s="12" t="s">
        <v>15</v>
      </c>
      <c r="G80" s="12" t="s">
        <v>90</v>
      </c>
      <c r="H80" s="201"/>
      <c r="O80" s="205"/>
    </row>
    <row r="81" spans="1:15" s="12" customFormat="1">
      <c r="A81" s="34"/>
      <c r="B81" s="34"/>
      <c r="C81" s="34"/>
      <c r="D81" s="34"/>
      <c r="E81" s="34"/>
      <c r="F81" s="34"/>
      <c r="G81" s="34"/>
      <c r="H81" s="202"/>
      <c r="O81" s="205"/>
    </row>
    <row r="82" spans="1:15" s="12" customFormat="1">
      <c r="A82" s="135">
        <v>45421</v>
      </c>
      <c r="B82" s="12">
        <v>5081</v>
      </c>
      <c r="C82" s="12" t="s">
        <v>91</v>
      </c>
      <c r="D82" s="12" t="s">
        <v>115</v>
      </c>
      <c r="E82" s="12">
        <v>2</v>
      </c>
      <c r="F82" s="12" t="s">
        <v>15</v>
      </c>
      <c r="G82" s="12" t="s">
        <v>90</v>
      </c>
      <c r="H82" s="201"/>
      <c r="O82" s="205"/>
    </row>
    <row r="83" spans="1:15" s="12" customFormat="1">
      <c r="A83" s="209"/>
      <c r="B83" s="34"/>
      <c r="C83" s="34"/>
      <c r="D83" s="34"/>
      <c r="E83" s="34"/>
      <c r="F83" s="34"/>
      <c r="G83" s="34"/>
      <c r="H83" s="202"/>
      <c r="O83" s="205"/>
    </row>
    <row r="84" spans="1:15" s="12" customFormat="1">
      <c r="A84" s="264">
        <v>45434</v>
      </c>
      <c r="B84" s="265" t="s">
        <v>116</v>
      </c>
      <c r="C84" s="265" t="s">
        <v>32</v>
      </c>
      <c r="D84" s="12" t="s">
        <v>117</v>
      </c>
      <c r="E84" s="12">
        <v>5</v>
      </c>
      <c r="F84" s="265" t="s">
        <v>15</v>
      </c>
      <c r="G84" s="265" t="s">
        <v>90</v>
      </c>
      <c r="H84" s="202"/>
      <c r="O84" s="205"/>
    </row>
    <row r="85" spans="1:15" s="12" customFormat="1">
      <c r="A85" s="264"/>
      <c r="B85" s="265"/>
      <c r="C85" s="265"/>
      <c r="D85" s="12" t="s">
        <v>81</v>
      </c>
      <c r="E85" s="12">
        <v>1</v>
      </c>
      <c r="F85" s="265"/>
      <c r="G85" s="265"/>
      <c r="H85" s="202"/>
      <c r="O85" s="205"/>
    </row>
    <row r="86" spans="1:15" s="27" customFormat="1">
      <c r="A86" s="34"/>
      <c r="B86" s="34"/>
      <c r="C86" s="34"/>
      <c r="D86" s="34"/>
      <c r="E86" s="34"/>
      <c r="F86" s="34"/>
      <c r="G86" s="34"/>
      <c r="H86" s="210"/>
      <c r="O86" s="212"/>
    </row>
    <row r="87" spans="1:15" s="12" customFormat="1">
      <c r="A87" s="266">
        <v>45437</v>
      </c>
      <c r="B87" s="269" t="s">
        <v>118</v>
      </c>
      <c r="C87" s="269" t="s">
        <v>119</v>
      </c>
      <c r="D87" s="12" t="s">
        <v>120</v>
      </c>
      <c r="E87" s="12">
        <v>1</v>
      </c>
      <c r="F87" s="269" t="s">
        <v>121</v>
      </c>
      <c r="G87" s="269" t="s">
        <v>90</v>
      </c>
      <c r="H87" s="201"/>
      <c r="O87" s="205"/>
    </row>
    <row r="88" spans="1:15" s="12" customFormat="1">
      <c r="A88" s="267"/>
      <c r="B88" s="270"/>
      <c r="C88" s="270"/>
      <c r="D88" s="12" t="s">
        <v>122</v>
      </c>
      <c r="E88" s="12">
        <v>7</v>
      </c>
      <c r="F88" s="270"/>
      <c r="G88" s="270"/>
      <c r="H88" s="201"/>
      <c r="O88" s="205"/>
    </row>
    <row r="89" spans="1:15" s="12" customFormat="1">
      <c r="A89" s="268"/>
      <c r="B89" s="271"/>
      <c r="C89" s="271"/>
      <c r="D89" s="12" t="s">
        <v>123</v>
      </c>
      <c r="E89" s="12">
        <v>14</v>
      </c>
      <c r="F89" s="271"/>
      <c r="G89" s="271"/>
      <c r="H89" s="201"/>
      <c r="O89" s="205"/>
    </row>
    <row r="90" spans="1:15" s="133" customFormat="1">
      <c r="A90" s="34"/>
      <c r="B90" s="34"/>
      <c r="C90" s="34"/>
      <c r="D90" s="34"/>
      <c r="E90" s="34"/>
      <c r="F90" s="34"/>
      <c r="G90" s="34"/>
      <c r="H90" s="211"/>
      <c r="O90" s="213"/>
    </row>
    <row r="91" spans="1:15" s="12" customFormat="1">
      <c r="A91" s="135">
        <v>45439</v>
      </c>
      <c r="B91" s="12" t="s">
        <v>124</v>
      </c>
      <c r="C91" s="12" t="s">
        <v>125</v>
      </c>
      <c r="D91" s="12" t="s">
        <v>126</v>
      </c>
      <c r="E91" s="12">
        <v>16</v>
      </c>
      <c r="F91" s="12" t="s">
        <v>15</v>
      </c>
      <c r="G91" s="12" t="s">
        <v>90</v>
      </c>
      <c r="H91" s="201"/>
      <c r="O91" s="205"/>
    </row>
    <row r="92" spans="1:15" s="12" customFormat="1">
      <c r="A92" s="34"/>
      <c r="B92" s="34"/>
      <c r="C92" s="34"/>
      <c r="D92" s="34"/>
      <c r="E92" s="34"/>
      <c r="F92" s="34"/>
      <c r="G92" s="34"/>
      <c r="H92" s="202"/>
      <c r="O92" s="205"/>
    </row>
    <row r="93" spans="1:15" s="12" customFormat="1">
      <c r="A93" s="264">
        <v>45439</v>
      </c>
      <c r="B93" s="265" t="s">
        <v>127</v>
      </c>
      <c r="C93" s="265" t="s">
        <v>32</v>
      </c>
      <c r="D93" s="12" t="s">
        <v>104</v>
      </c>
      <c r="E93" s="12">
        <v>14</v>
      </c>
      <c r="F93" s="265" t="s">
        <v>15</v>
      </c>
      <c r="G93" s="265" t="s">
        <v>90</v>
      </c>
      <c r="H93" s="201"/>
      <c r="O93" s="205"/>
    </row>
    <row r="94" spans="1:15" s="12" customFormat="1">
      <c r="A94" s="264"/>
      <c r="B94" s="265"/>
      <c r="C94" s="265"/>
      <c r="D94" s="12" t="s">
        <v>128</v>
      </c>
      <c r="E94" s="12">
        <v>5</v>
      </c>
      <c r="F94" s="265"/>
      <c r="G94" s="265"/>
      <c r="H94" s="201"/>
      <c r="O94" s="205"/>
    </row>
    <row r="95" spans="1:15" s="12" customFormat="1">
      <c r="A95" s="264"/>
      <c r="B95" s="265"/>
      <c r="C95" s="265"/>
      <c r="D95" s="12" t="s">
        <v>65</v>
      </c>
      <c r="E95" s="12">
        <v>9</v>
      </c>
      <c r="F95" s="265"/>
      <c r="G95" s="265"/>
      <c r="H95" s="201"/>
      <c r="O95" s="205"/>
    </row>
    <row r="96" spans="1:15" s="12" customFormat="1">
      <c r="A96" s="264"/>
      <c r="B96" s="265"/>
      <c r="C96" s="265"/>
      <c r="D96" s="12" t="s">
        <v>83</v>
      </c>
      <c r="E96" s="12">
        <v>8</v>
      </c>
      <c r="F96" s="265"/>
      <c r="G96" s="265"/>
      <c r="H96" s="201"/>
      <c r="O96" s="205"/>
    </row>
    <row r="97" spans="1:15" s="12" customFormat="1">
      <c r="A97" s="264"/>
      <c r="B97" s="265"/>
      <c r="C97" s="265"/>
      <c r="D97" s="12" t="s">
        <v>33</v>
      </c>
      <c r="E97" s="12">
        <v>9</v>
      </c>
      <c r="F97" s="265"/>
      <c r="G97" s="265"/>
      <c r="H97" s="201"/>
      <c r="O97" s="205"/>
    </row>
    <row r="98" spans="1:15" s="12" customFormat="1">
      <c r="A98" s="264"/>
      <c r="B98" s="265"/>
      <c r="C98" s="265"/>
      <c r="D98" s="12" t="s">
        <v>68</v>
      </c>
      <c r="E98" s="12">
        <v>12</v>
      </c>
      <c r="F98" s="265"/>
      <c r="G98" s="265"/>
      <c r="H98" s="201"/>
      <c r="O98" s="205"/>
    </row>
    <row r="99" spans="1:15" s="12" customFormat="1">
      <c r="A99" s="34"/>
      <c r="B99" s="34"/>
      <c r="C99" s="34"/>
      <c r="D99" s="34"/>
      <c r="E99" s="34"/>
      <c r="F99" s="34"/>
      <c r="G99" s="34"/>
      <c r="H99" s="202"/>
      <c r="O99" s="205"/>
    </row>
    <row r="100" spans="1:15" s="12" customFormat="1">
      <c r="A100" s="264">
        <v>45440</v>
      </c>
      <c r="B100" s="265">
        <v>625</v>
      </c>
      <c r="C100" s="265" t="s">
        <v>129</v>
      </c>
      <c r="D100" s="12" t="s">
        <v>130</v>
      </c>
      <c r="E100" s="265">
        <v>50</v>
      </c>
      <c r="F100" s="265" t="s">
        <v>15</v>
      </c>
      <c r="G100" s="265" t="s">
        <v>90</v>
      </c>
      <c r="H100" s="201"/>
      <c r="O100" s="205"/>
    </row>
    <row r="101" spans="1:15" s="12" customFormat="1">
      <c r="A101" s="264"/>
      <c r="B101" s="265"/>
      <c r="C101" s="265"/>
      <c r="D101" s="12" t="s">
        <v>131</v>
      </c>
      <c r="E101" s="265"/>
      <c r="F101" s="265"/>
      <c r="G101" s="265"/>
      <c r="H101" s="201"/>
      <c r="O101" s="205"/>
    </row>
    <row r="102" spans="1:15" s="12" customFormat="1">
      <c r="A102" s="264"/>
      <c r="B102" s="265"/>
      <c r="C102" s="265"/>
      <c r="D102" s="12" t="s">
        <v>132</v>
      </c>
      <c r="E102" s="265"/>
      <c r="F102" s="265"/>
      <c r="G102" s="265"/>
      <c r="H102" s="201"/>
      <c r="O102" s="205"/>
    </row>
    <row r="103" spans="1:15" s="12" customFormat="1">
      <c r="A103" s="264"/>
      <c r="B103" s="265"/>
      <c r="C103" s="265"/>
      <c r="D103" s="12" t="s">
        <v>133</v>
      </c>
      <c r="E103" s="265"/>
      <c r="F103" s="265"/>
      <c r="G103" s="265"/>
      <c r="H103" s="201"/>
      <c r="O103" s="205"/>
    </row>
    <row r="104" spans="1:15" s="12" customFormat="1">
      <c r="A104" s="264"/>
      <c r="B104" s="265"/>
      <c r="C104" s="265"/>
      <c r="D104" s="12" t="s">
        <v>134</v>
      </c>
      <c r="E104" s="265"/>
      <c r="F104" s="265"/>
      <c r="G104" s="265"/>
      <c r="H104" s="201"/>
      <c r="O104" s="205"/>
    </row>
    <row r="105" spans="1:15" s="12" customFormat="1">
      <c r="A105" s="264"/>
      <c r="B105" s="265"/>
      <c r="C105" s="265"/>
      <c r="D105" s="12" t="s">
        <v>135</v>
      </c>
      <c r="E105" s="265"/>
      <c r="F105" s="265"/>
      <c r="G105" s="265"/>
      <c r="H105" s="201"/>
      <c r="O105" s="205"/>
    </row>
    <row r="106" spans="1:15" s="12" customFormat="1">
      <c r="A106" s="34"/>
      <c r="B106" s="34"/>
      <c r="C106" s="34"/>
      <c r="D106" s="34"/>
      <c r="E106" s="34"/>
      <c r="F106" s="34"/>
      <c r="G106" s="34"/>
      <c r="H106" s="201"/>
      <c r="O106" s="205"/>
    </row>
    <row r="107" spans="1:15" s="12" customFormat="1">
      <c r="A107" s="264">
        <v>45440</v>
      </c>
      <c r="B107" s="265" t="s">
        <v>136</v>
      </c>
      <c r="C107" s="265" t="s">
        <v>23</v>
      </c>
      <c r="D107" s="12" t="s">
        <v>137</v>
      </c>
      <c r="E107" s="12">
        <v>2</v>
      </c>
      <c r="F107" s="265" t="s">
        <v>15</v>
      </c>
      <c r="G107" s="265" t="s">
        <v>90</v>
      </c>
      <c r="H107" s="201"/>
      <c r="O107" s="205"/>
    </row>
    <row r="108" spans="1:15" s="12" customFormat="1">
      <c r="A108" s="264"/>
      <c r="B108" s="265"/>
      <c r="C108" s="265"/>
      <c r="D108" s="12" t="s">
        <v>138</v>
      </c>
      <c r="E108" s="12">
        <v>4</v>
      </c>
      <c r="F108" s="265"/>
      <c r="G108" s="265"/>
      <c r="H108" s="201"/>
      <c r="O108" s="205"/>
    </row>
    <row r="109" spans="1:15" s="12" customFormat="1">
      <c r="A109" s="264"/>
      <c r="B109" s="265"/>
      <c r="C109" s="265"/>
      <c r="D109" s="12" t="s">
        <v>139</v>
      </c>
      <c r="E109" s="12">
        <v>1</v>
      </c>
      <c r="F109" s="265"/>
      <c r="G109" s="265"/>
      <c r="H109" s="201"/>
      <c r="O109" s="205"/>
    </row>
    <row r="110" spans="1:15" s="12" customFormat="1">
      <c r="A110" s="264"/>
      <c r="B110" s="265"/>
      <c r="C110" s="265"/>
      <c r="D110" s="12" t="s">
        <v>140</v>
      </c>
      <c r="E110" s="12">
        <v>1</v>
      </c>
      <c r="F110" s="265"/>
      <c r="G110" s="265"/>
      <c r="H110" s="201"/>
      <c r="O110" s="205"/>
    </row>
    <row r="111" spans="1:15" s="27" customFormat="1">
      <c r="A111" s="34"/>
      <c r="B111" s="34"/>
      <c r="C111" s="34"/>
      <c r="D111" s="34"/>
      <c r="E111" s="34" t="s">
        <v>141</v>
      </c>
      <c r="F111" s="34"/>
      <c r="G111" s="34"/>
      <c r="H111" s="210"/>
      <c r="O111" s="212"/>
    </row>
    <row r="112" spans="1:15" s="12" customFormat="1">
      <c r="A112" s="266">
        <v>45441</v>
      </c>
      <c r="B112" s="269" t="s">
        <v>142</v>
      </c>
      <c r="C112" s="269" t="s">
        <v>143</v>
      </c>
      <c r="D112" s="12" t="s">
        <v>144</v>
      </c>
      <c r="E112" s="12">
        <v>1</v>
      </c>
      <c r="F112" s="269" t="s">
        <v>121</v>
      </c>
      <c r="G112" s="269" t="s">
        <v>90</v>
      </c>
      <c r="H112" s="201"/>
      <c r="O112" s="205"/>
    </row>
    <row r="113" spans="1:15" s="12" customFormat="1">
      <c r="A113" s="267"/>
      <c r="B113" s="270"/>
      <c r="C113" s="270"/>
      <c r="D113" s="12" t="s">
        <v>145</v>
      </c>
      <c r="E113" s="12">
        <v>1</v>
      </c>
      <c r="F113" s="270"/>
      <c r="G113" s="270"/>
      <c r="H113" s="201"/>
      <c r="O113" s="205"/>
    </row>
    <row r="114" spans="1:15" s="12" customFormat="1">
      <c r="A114" s="267"/>
      <c r="B114" s="270"/>
      <c r="C114" s="270"/>
      <c r="D114" s="12" t="s">
        <v>146</v>
      </c>
      <c r="E114" s="12">
        <v>1</v>
      </c>
      <c r="F114" s="270"/>
      <c r="G114" s="270"/>
      <c r="H114" s="201"/>
      <c r="O114" s="205"/>
    </row>
    <row r="115" spans="1:15" s="12" customFormat="1">
      <c r="A115" s="267"/>
      <c r="B115" s="270"/>
      <c r="C115" s="270"/>
      <c r="D115" s="12" t="s">
        <v>147</v>
      </c>
      <c r="E115" s="12">
        <v>1</v>
      </c>
      <c r="F115" s="270"/>
      <c r="G115" s="270"/>
      <c r="H115" s="201"/>
      <c r="O115" s="205"/>
    </row>
    <row r="116" spans="1:15" s="12" customFormat="1">
      <c r="A116" s="268"/>
      <c r="B116" s="271"/>
      <c r="C116" s="271"/>
      <c r="D116" s="12" t="s">
        <v>148</v>
      </c>
      <c r="E116" s="12">
        <v>1</v>
      </c>
      <c r="F116" s="271"/>
      <c r="G116" s="271"/>
      <c r="H116" s="201"/>
      <c r="O116" s="205"/>
    </row>
    <row r="117" spans="1:15" s="12" customFormat="1">
      <c r="A117" s="34"/>
      <c r="B117" s="34"/>
      <c r="C117" s="34"/>
      <c r="D117" s="34"/>
      <c r="E117" s="34"/>
      <c r="F117" s="34"/>
      <c r="G117" s="34"/>
      <c r="H117" s="202"/>
      <c r="O117" s="205"/>
    </row>
    <row r="118" spans="1:15" s="12" customFormat="1">
      <c r="A118" s="135">
        <v>45441</v>
      </c>
      <c r="B118" s="12" t="s">
        <v>149</v>
      </c>
      <c r="C118" s="12" t="s">
        <v>119</v>
      </c>
      <c r="D118" s="12" t="s">
        <v>150</v>
      </c>
      <c r="E118" s="12">
        <v>10</v>
      </c>
      <c r="F118" s="12" t="s">
        <v>121</v>
      </c>
      <c r="G118" s="12" t="s">
        <v>90</v>
      </c>
      <c r="H118" s="202"/>
      <c r="O118" s="205"/>
    </row>
    <row r="119" spans="1:15" s="12" customFormat="1">
      <c r="A119" s="34"/>
      <c r="B119" s="34"/>
      <c r="C119" s="34"/>
      <c r="D119" s="34"/>
      <c r="E119" s="34"/>
      <c r="F119" s="34"/>
      <c r="G119" s="34"/>
      <c r="H119" s="202"/>
      <c r="O119" s="205"/>
    </row>
    <row r="120" spans="1:15" s="12" customFormat="1">
      <c r="A120" s="266">
        <v>45443</v>
      </c>
      <c r="B120" s="269" t="s">
        <v>151</v>
      </c>
      <c r="C120" s="269" t="s">
        <v>143</v>
      </c>
      <c r="D120" s="12" t="s">
        <v>152</v>
      </c>
      <c r="E120" s="12">
        <v>1</v>
      </c>
      <c r="F120" s="269" t="s">
        <v>15</v>
      </c>
      <c r="G120" s="269" t="s">
        <v>90</v>
      </c>
      <c r="H120" s="202"/>
      <c r="O120" s="205"/>
    </row>
    <row r="121" spans="1:15" s="12" customFormat="1">
      <c r="A121" s="268"/>
      <c r="B121" s="271"/>
      <c r="C121" s="271"/>
      <c r="D121" s="12" t="s">
        <v>153</v>
      </c>
      <c r="E121" s="12">
        <v>1</v>
      </c>
      <c r="F121" s="271"/>
      <c r="G121" s="271"/>
      <c r="H121" s="202"/>
      <c r="O121" s="205"/>
    </row>
    <row r="122" spans="1:15" s="12" customFormat="1">
      <c r="A122" s="34"/>
      <c r="B122" s="34"/>
      <c r="C122" s="34"/>
      <c r="D122" s="34"/>
      <c r="E122" s="34"/>
      <c r="F122" s="34"/>
      <c r="G122" s="34"/>
      <c r="H122" s="202"/>
      <c r="O122" s="205"/>
    </row>
    <row r="123" spans="1:15" s="12" customFormat="1">
      <c r="A123" s="264">
        <v>45446</v>
      </c>
      <c r="B123" s="265" t="s">
        <v>154</v>
      </c>
      <c r="C123" s="265" t="s">
        <v>57</v>
      </c>
      <c r="D123" s="12" t="s">
        <v>108</v>
      </c>
      <c r="E123" s="12">
        <v>40</v>
      </c>
      <c r="F123" s="265" t="s">
        <v>15</v>
      </c>
      <c r="G123" s="265" t="s">
        <v>90</v>
      </c>
      <c r="H123" s="201"/>
      <c r="O123" s="205"/>
    </row>
    <row r="124" spans="1:15" s="12" customFormat="1">
      <c r="A124" s="264"/>
      <c r="B124" s="265"/>
      <c r="C124" s="265"/>
      <c r="D124" s="12" t="s">
        <v>60</v>
      </c>
      <c r="E124" s="12">
        <v>10</v>
      </c>
      <c r="F124" s="265"/>
      <c r="G124" s="265"/>
      <c r="H124" s="201"/>
      <c r="O124" s="205"/>
    </row>
    <row r="125" spans="1:15" s="12" customFormat="1">
      <c r="A125" s="34"/>
      <c r="B125" s="34"/>
      <c r="C125" s="34"/>
      <c r="D125" s="34"/>
      <c r="E125" s="34"/>
      <c r="F125" s="34"/>
      <c r="G125" s="34"/>
      <c r="H125" s="202"/>
      <c r="O125" s="205"/>
    </row>
    <row r="126" spans="1:15" s="12" customFormat="1">
      <c r="A126" s="264">
        <v>45449</v>
      </c>
      <c r="B126" s="265" t="s">
        <v>155</v>
      </c>
      <c r="C126" s="265" t="s">
        <v>110</v>
      </c>
      <c r="D126" s="12" t="s">
        <v>156</v>
      </c>
      <c r="E126" s="12">
        <v>30</v>
      </c>
      <c r="F126" s="265" t="s">
        <v>20</v>
      </c>
      <c r="G126" s="265" t="s">
        <v>90</v>
      </c>
      <c r="H126" s="201"/>
      <c r="O126" s="205"/>
    </row>
    <row r="127" spans="1:15" s="12" customFormat="1">
      <c r="A127" s="264"/>
      <c r="B127" s="265"/>
      <c r="C127" s="265"/>
      <c r="D127" s="12" t="s">
        <v>157</v>
      </c>
      <c r="E127" s="12">
        <v>30</v>
      </c>
      <c r="F127" s="265"/>
      <c r="G127" s="265"/>
      <c r="H127" s="201"/>
      <c r="O127" s="205"/>
    </row>
    <row r="128" spans="1:15" s="12" customFormat="1">
      <c r="A128" s="34"/>
      <c r="B128" s="34"/>
      <c r="C128" s="34"/>
      <c r="D128" s="34"/>
      <c r="E128" s="34"/>
      <c r="F128" s="34"/>
      <c r="G128" s="34"/>
      <c r="H128" s="202"/>
      <c r="O128" s="205"/>
    </row>
    <row r="129" spans="1:15" s="12" customFormat="1">
      <c r="A129" s="264">
        <v>45450</v>
      </c>
      <c r="B129" s="265" t="s">
        <v>158</v>
      </c>
      <c r="C129" s="265" t="s">
        <v>32</v>
      </c>
      <c r="D129" s="12" t="s">
        <v>104</v>
      </c>
      <c r="E129" s="12">
        <v>16</v>
      </c>
      <c r="F129" s="265" t="s">
        <v>15</v>
      </c>
      <c r="G129" s="265" t="s">
        <v>90</v>
      </c>
      <c r="H129" s="201"/>
      <c r="O129" s="205"/>
    </row>
    <row r="130" spans="1:15" s="12" customFormat="1">
      <c r="A130" s="264"/>
      <c r="B130" s="265"/>
      <c r="C130" s="265"/>
      <c r="D130" s="12" t="s">
        <v>83</v>
      </c>
      <c r="E130" s="12">
        <v>11</v>
      </c>
      <c r="F130" s="265"/>
      <c r="G130" s="265"/>
      <c r="H130" s="201"/>
      <c r="O130" s="205"/>
    </row>
    <row r="131" spans="1:15" s="12" customFormat="1">
      <c r="A131" s="264"/>
      <c r="B131" s="265"/>
      <c r="C131" s="265"/>
      <c r="D131" s="12" t="s">
        <v>128</v>
      </c>
      <c r="E131" s="12">
        <v>3</v>
      </c>
      <c r="F131" s="265"/>
      <c r="G131" s="265"/>
      <c r="H131" s="201"/>
      <c r="O131" s="205"/>
    </row>
    <row r="132" spans="1:15" s="12" customFormat="1">
      <c r="A132" s="264"/>
      <c r="B132" s="265"/>
      <c r="C132" s="265"/>
      <c r="D132" s="12" t="s">
        <v>103</v>
      </c>
      <c r="E132" s="12">
        <v>2</v>
      </c>
      <c r="F132" s="265"/>
      <c r="G132" s="265"/>
      <c r="H132" s="201"/>
      <c r="O132" s="205"/>
    </row>
    <row r="133" spans="1:15" s="12" customFormat="1">
      <c r="A133" s="264"/>
      <c r="B133" s="265"/>
      <c r="C133" s="265"/>
      <c r="D133" s="12" t="s">
        <v>65</v>
      </c>
      <c r="E133" s="12">
        <v>5</v>
      </c>
      <c r="F133" s="265"/>
      <c r="G133" s="265"/>
      <c r="H133" s="201"/>
      <c r="O133" s="205"/>
    </row>
    <row r="134" spans="1:15" s="12" customFormat="1">
      <c r="A134" s="264"/>
      <c r="B134" s="265"/>
      <c r="C134" s="265"/>
      <c r="D134" s="12" t="s">
        <v>159</v>
      </c>
      <c r="E134" s="12">
        <v>2</v>
      </c>
      <c r="F134" s="265"/>
      <c r="G134" s="265"/>
      <c r="H134" s="201"/>
      <c r="O134" s="205"/>
    </row>
    <row r="135" spans="1:15" s="12" customFormat="1">
      <c r="A135" s="34"/>
      <c r="B135" s="34"/>
      <c r="C135" s="34"/>
      <c r="D135" s="34"/>
      <c r="E135" s="34"/>
      <c r="F135" s="34"/>
      <c r="G135" s="34"/>
      <c r="H135" s="202"/>
      <c r="O135" s="205"/>
    </row>
    <row r="136" spans="1:15" s="12" customFormat="1">
      <c r="A136" s="264">
        <v>45454</v>
      </c>
      <c r="B136" s="265" t="s">
        <v>160</v>
      </c>
      <c r="C136" s="265" t="s">
        <v>32</v>
      </c>
      <c r="D136" s="12" t="s">
        <v>128</v>
      </c>
      <c r="E136" s="12">
        <v>7</v>
      </c>
      <c r="F136" s="265" t="s">
        <v>15</v>
      </c>
      <c r="G136" s="265" t="s">
        <v>90</v>
      </c>
      <c r="H136" s="201"/>
      <c r="O136" s="205"/>
    </row>
    <row r="137" spans="1:15" s="12" customFormat="1">
      <c r="A137" s="264"/>
      <c r="B137" s="265"/>
      <c r="C137" s="265"/>
      <c r="D137" s="12" t="s">
        <v>65</v>
      </c>
      <c r="E137" s="12">
        <v>10</v>
      </c>
      <c r="F137" s="265"/>
      <c r="G137" s="265"/>
      <c r="H137" s="201"/>
      <c r="O137" s="205"/>
    </row>
    <row r="138" spans="1:15" s="12" customFormat="1">
      <c r="A138" s="34"/>
      <c r="B138" s="34"/>
      <c r="C138" s="34"/>
      <c r="D138" s="34"/>
      <c r="E138" s="34"/>
      <c r="F138" s="34"/>
      <c r="G138" s="34"/>
      <c r="H138" s="202"/>
      <c r="O138" s="205"/>
    </row>
    <row r="139" spans="1:15" s="12" customFormat="1">
      <c r="A139" s="135">
        <v>45455</v>
      </c>
      <c r="B139" s="12" t="s">
        <v>161</v>
      </c>
      <c r="C139" s="12" t="s">
        <v>57</v>
      </c>
      <c r="D139" s="12" t="s">
        <v>108</v>
      </c>
      <c r="E139" s="12">
        <v>200</v>
      </c>
      <c r="F139" s="12" t="s">
        <v>15</v>
      </c>
      <c r="G139" s="12" t="s">
        <v>90</v>
      </c>
      <c r="H139" s="201"/>
      <c r="O139" s="205"/>
    </row>
    <row r="140" spans="1:15" s="12" customFormat="1">
      <c r="A140" s="34"/>
      <c r="B140" s="34"/>
      <c r="C140" s="34"/>
      <c r="D140" s="34"/>
      <c r="E140" s="34"/>
      <c r="F140" s="34"/>
      <c r="G140" s="34"/>
      <c r="H140" s="202"/>
      <c r="O140" s="205"/>
    </row>
    <row r="141" spans="1:15" s="12" customFormat="1">
      <c r="A141" s="135">
        <v>45457</v>
      </c>
      <c r="B141" s="12" t="s">
        <v>162</v>
      </c>
      <c r="C141" s="12" t="s">
        <v>57</v>
      </c>
      <c r="D141" s="12" t="s">
        <v>108</v>
      </c>
      <c r="E141" s="12">
        <v>60</v>
      </c>
      <c r="F141" s="12" t="s">
        <v>15</v>
      </c>
      <c r="G141" s="12" t="s">
        <v>90</v>
      </c>
      <c r="H141" s="201"/>
      <c r="O141" s="205"/>
    </row>
    <row r="142" spans="1:15" s="12" customFormat="1">
      <c r="A142" s="34"/>
      <c r="B142" s="34"/>
      <c r="C142" s="34"/>
      <c r="D142" s="34"/>
      <c r="E142" s="34"/>
      <c r="F142" s="34"/>
      <c r="G142" s="34"/>
      <c r="H142" s="202"/>
      <c r="O142" s="205"/>
    </row>
    <row r="143" spans="1:15" s="12" customFormat="1">
      <c r="A143" s="264">
        <v>45460</v>
      </c>
      <c r="B143" s="265" t="s">
        <v>163</v>
      </c>
      <c r="C143" s="265" t="s">
        <v>32</v>
      </c>
      <c r="D143" s="12" t="s">
        <v>83</v>
      </c>
      <c r="E143" s="12">
        <v>1</v>
      </c>
      <c r="F143" s="265" t="s">
        <v>15</v>
      </c>
      <c r="G143" s="265" t="s">
        <v>90</v>
      </c>
      <c r="H143" s="201"/>
      <c r="O143" s="205"/>
    </row>
    <row r="144" spans="1:15" s="12" customFormat="1">
      <c r="A144" s="264"/>
      <c r="B144" s="265"/>
      <c r="C144" s="265"/>
      <c r="D144" s="12" t="s">
        <v>81</v>
      </c>
      <c r="E144" s="12">
        <v>2</v>
      </c>
      <c r="F144" s="265"/>
      <c r="G144" s="265"/>
      <c r="H144" s="201"/>
      <c r="O144" s="205"/>
    </row>
    <row r="145" spans="1:15" s="12" customFormat="1">
      <c r="A145" s="34"/>
      <c r="B145" s="34"/>
      <c r="C145" s="34"/>
      <c r="D145" s="34"/>
      <c r="E145" s="34"/>
      <c r="F145" s="34"/>
      <c r="G145" s="34"/>
      <c r="H145" s="202"/>
      <c r="O145" s="205"/>
    </row>
    <row r="146" spans="1:15" s="12" customFormat="1" ht="43.5">
      <c r="A146" s="135">
        <v>45462</v>
      </c>
      <c r="B146" s="12">
        <v>2110798974</v>
      </c>
      <c r="C146" s="12" t="s">
        <v>164</v>
      </c>
      <c r="D146" s="12" t="s">
        <v>165</v>
      </c>
      <c r="E146" s="12">
        <v>5</v>
      </c>
      <c r="F146" s="12" t="s">
        <v>15</v>
      </c>
      <c r="G146" s="12" t="s">
        <v>166</v>
      </c>
      <c r="H146" s="201"/>
      <c r="O146" s="205"/>
    </row>
    <row r="147" spans="1:15" s="12" customFormat="1">
      <c r="A147" s="34"/>
      <c r="B147" s="34"/>
      <c r="C147" s="34"/>
      <c r="D147" s="34"/>
      <c r="E147" s="34"/>
      <c r="F147" s="34"/>
      <c r="G147" s="34"/>
      <c r="H147" s="202"/>
      <c r="O147" s="205"/>
    </row>
    <row r="148" spans="1:15" s="12" customFormat="1">
      <c r="A148" s="264">
        <v>45463</v>
      </c>
      <c r="B148" s="265" t="s">
        <v>167</v>
      </c>
      <c r="C148" s="265" t="s">
        <v>32</v>
      </c>
      <c r="D148" s="12" t="s">
        <v>83</v>
      </c>
      <c r="E148" s="12">
        <v>20</v>
      </c>
      <c r="F148" s="265" t="s">
        <v>15</v>
      </c>
      <c r="G148" s="265" t="s">
        <v>90</v>
      </c>
      <c r="H148" s="201"/>
      <c r="O148" s="205"/>
    </row>
    <row r="149" spans="1:15" s="12" customFormat="1">
      <c r="A149" s="264"/>
      <c r="B149" s="265"/>
      <c r="C149" s="265"/>
      <c r="D149" s="12" t="s">
        <v>117</v>
      </c>
      <c r="E149" s="12">
        <v>1</v>
      </c>
      <c r="F149" s="265"/>
      <c r="G149" s="265"/>
      <c r="H149" s="201"/>
      <c r="O149" s="205"/>
    </row>
    <row r="150" spans="1:15" s="12" customFormat="1">
      <c r="A150" s="264"/>
      <c r="B150" s="265"/>
      <c r="C150" s="265"/>
      <c r="D150" s="12" t="s">
        <v>68</v>
      </c>
      <c r="E150" s="12">
        <v>1</v>
      </c>
      <c r="F150" s="265"/>
      <c r="G150" s="265"/>
      <c r="H150" s="201"/>
      <c r="O150" s="205"/>
    </row>
    <row r="151" spans="1:15" s="12" customFormat="1">
      <c r="A151" s="34"/>
      <c r="B151" s="34"/>
      <c r="C151" s="34"/>
      <c r="D151" s="34"/>
      <c r="E151" s="34"/>
      <c r="F151" s="34"/>
      <c r="G151" s="34"/>
      <c r="H151" s="202"/>
      <c r="O151" s="205"/>
    </row>
    <row r="152" spans="1:15" s="12" customFormat="1" ht="29">
      <c r="A152" s="135">
        <v>45465</v>
      </c>
      <c r="B152" s="12" t="s">
        <v>168</v>
      </c>
      <c r="C152" s="12" t="s">
        <v>169</v>
      </c>
      <c r="D152" s="12" t="s">
        <v>170</v>
      </c>
      <c r="E152" s="12">
        <v>1</v>
      </c>
      <c r="F152" s="12" t="s">
        <v>15</v>
      </c>
      <c r="G152" s="12" t="s">
        <v>171</v>
      </c>
      <c r="H152" s="201"/>
      <c r="O152" s="205"/>
    </row>
    <row r="153" spans="1:15" s="12" customFormat="1">
      <c r="A153" s="34"/>
      <c r="B153" s="34"/>
      <c r="C153" s="34"/>
      <c r="D153" s="34"/>
      <c r="E153" s="34"/>
      <c r="F153" s="34"/>
      <c r="G153" s="34"/>
      <c r="H153" s="210"/>
      <c r="O153" s="205"/>
    </row>
    <row r="154" spans="1:15" s="12" customFormat="1">
      <c r="A154" s="135">
        <v>45468</v>
      </c>
      <c r="B154" s="12" t="s">
        <v>172</v>
      </c>
      <c r="C154" s="12" t="s">
        <v>72</v>
      </c>
      <c r="D154" s="12" t="s">
        <v>173</v>
      </c>
      <c r="E154" s="12">
        <v>7</v>
      </c>
      <c r="F154" s="12" t="s">
        <v>15</v>
      </c>
      <c r="G154" s="12" t="s">
        <v>90</v>
      </c>
      <c r="H154" s="201"/>
      <c r="O154" s="205"/>
    </row>
    <row r="155" spans="1:15" s="12" customFormat="1">
      <c r="A155" s="34"/>
      <c r="B155" s="34"/>
      <c r="C155" s="34"/>
      <c r="D155" s="34"/>
      <c r="E155" s="34"/>
      <c r="F155" s="34"/>
      <c r="G155" s="34"/>
      <c r="H155" s="202"/>
      <c r="O155" s="205"/>
    </row>
    <row r="156" spans="1:15" s="12" customFormat="1">
      <c r="A156" s="135">
        <v>45469</v>
      </c>
      <c r="B156" s="12" t="s">
        <v>174</v>
      </c>
      <c r="C156" s="12" t="s">
        <v>175</v>
      </c>
      <c r="D156" s="12" t="s">
        <v>176</v>
      </c>
      <c r="E156" s="12">
        <v>73</v>
      </c>
      <c r="F156" s="12" t="s">
        <v>15</v>
      </c>
      <c r="G156" s="12" t="s">
        <v>90</v>
      </c>
      <c r="H156" s="201"/>
      <c r="O156" s="205"/>
    </row>
    <row r="157" spans="1:15" s="12" customFormat="1">
      <c r="H157" s="202"/>
      <c r="O157" s="205"/>
    </row>
    <row r="158" spans="1:15" s="12" customFormat="1">
      <c r="A158" s="135">
        <v>45469</v>
      </c>
      <c r="B158" s="12">
        <v>151</v>
      </c>
      <c r="C158" s="12" t="s">
        <v>62</v>
      </c>
      <c r="D158" s="12" t="s">
        <v>114</v>
      </c>
      <c r="E158" s="12">
        <v>2</v>
      </c>
      <c r="F158" s="12" t="s">
        <v>15</v>
      </c>
      <c r="G158" s="12" t="s">
        <v>90</v>
      </c>
      <c r="H158" s="202"/>
      <c r="O158" s="205"/>
    </row>
    <row r="159" spans="1:15" s="12" customFormat="1">
      <c r="A159" s="34"/>
      <c r="B159" s="34"/>
      <c r="C159" s="34"/>
      <c r="D159" s="34"/>
      <c r="E159" s="34"/>
      <c r="F159" s="34"/>
      <c r="G159" s="34"/>
      <c r="H159" s="202"/>
      <c r="O159" s="205"/>
    </row>
    <row r="160" spans="1:15" s="12" customFormat="1">
      <c r="A160" s="264">
        <v>45469</v>
      </c>
      <c r="B160" s="265" t="s">
        <v>177</v>
      </c>
      <c r="C160" s="265" t="s">
        <v>32</v>
      </c>
      <c r="D160" s="12" t="s">
        <v>117</v>
      </c>
      <c r="E160" s="12">
        <v>1</v>
      </c>
      <c r="F160" s="265" t="s">
        <v>15</v>
      </c>
      <c r="G160" s="265" t="s">
        <v>90</v>
      </c>
      <c r="H160" s="201"/>
      <c r="O160" s="205"/>
    </row>
    <row r="161" spans="1:15" s="12" customFormat="1">
      <c r="A161" s="264"/>
      <c r="B161" s="265"/>
      <c r="C161" s="265"/>
      <c r="D161" s="12" t="s">
        <v>68</v>
      </c>
      <c r="E161" s="12">
        <v>19</v>
      </c>
      <c r="F161" s="265"/>
      <c r="G161" s="265"/>
      <c r="H161" s="201"/>
      <c r="O161" s="205"/>
    </row>
    <row r="162" spans="1:15" s="12" customFormat="1">
      <c r="A162" s="34"/>
      <c r="B162" s="34"/>
      <c r="C162" s="34"/>
      <c r="D162" s="34"/>
      <c r="E162" s="34"/>
      <c r="F162" s="34"/>
      <c r="G162" s="34"/>
      <c r="H162" s="202"/>
      <c r="O162" s="205"/>
    </row>
    <row r="163" spans="1:15" s="12" customFormat="1" ht="29">
      <c r="A163" s="135">
        <v>45530</v>
      </c>
      <c r="B163" s="12" t="s">
        <v>178</v>
      </c>
      <c r="C163" s="12" t="s">
        <v>32</v>
      </c>
      <c r="D163" s="12" t="s">
        <v>68</v>
      </c>
      <c r="E163" s="12">
        <v>15</v>
      </c>
      <c r="F163" s="12" t="s">
        <v>15</v>
      </c>
      <c r="G163" s="12" t="s">
        <v>90</v>
      </c>
      <c r="H163" s="201"/>
      <c r="I163" s="135">
        <v>45530</v>
      </c>
      <c r="J163" s="27" t="s">
        <v>179</v>
      </c>
      <c r="K163" s="27"/>
      <c r="O163" s="205"/>
    </row>
    <row r="164" spans="1:15" s="12" customFormat="1">
      <c r="H164" s="201"/>
      <c r="I164" s="214"/>
      <c r="J164" s="215"/>
      <c r="K164" s="216"/>
      <c r="L164" s="134"/>
      <c r="O164" s="205"/>
    </row>
    <row r="165" spans="1:15" s="12" customFormat="1">
      <c r="E165" s="12">
        <v>16</v>
      </c>
      <c r="F165" s="12" t="s">
        <v>15</v>
      </c>
      <c r="G165" s="12" t="s">
        <v>90</v>
      </c>
      <c r="H165" s="201"/>
      <c r="I165" s="272">
        <v>45532</v>
      </c>
      <c r="J165" s="274" t="s">
        <v>180</v>
      </c>
      <c r="K165" s="275"/>
      <c r="L165" s="134" t="s">
        <v>181</v>
      </c>
      <c r="M165" s="12">
        <v>10</v>
      </c>
      <c r="N165" s="269" t="s">
        <v>20</v>
      </c>
      <c r="O165" s="205">
        <v>5</v>
      </c>
    </row>
    <row r="166" spans="1:15" s="12" customFormat="1">
      <c r="H166" s="201"/>
      <c r="I166" s="273"/>
      <c r="J166" s="276"/>
      <c r="K166" s="277"/>
      <c r="L166" s="134" t="s">
        <v>182</v>
      </c>
      <c r="M166" s="12">
        <v>2</v>
      </c>
      <c r="N166" s="271"/>
      <c r="O166" s="205"/>
    </row>
    <row r="167" spans="1:15" s="12" customFormat="1">
      <c r="H167" s="201"/>
      <c r="I167" s="214"/>
      <c r="J167" s="217"/>
      <c r="K167" s="218"/>
      <c r="L167" s="134"/>
      <c r="O167" s="205"/>
    </row>
    <row r="168" spans="1:15" s="12" customFormat="1">
      <c r="H168" s="201"/>
      <c r="J168" s="133"/>
      <c r="K168" s="133"/>
      <c r="O168" s="205"/>
    </row>
    <row r="169" spans="1:15" s="12" customFormat="1">
      <c r="H169" s="201"/>
      <c r="O169" s="205"/>
    </row>
    <row r="170" spans="1:15" s="12" customFormat="1">
      <c r="H170" s="201"/>
      <c r="O170" s="205"/>
    </row>
    <row r="171" spans="1:15" s="12" customFormat="1">
      <c r="H171" s="201"/>
      <c r="O171" s="205"/>
    </row>
    <row r="172" spans="1:15" s="12" customFormat="1">
      <c r="H172" s="201"/>
      <c r="O172" s="205"/>
    </row>
    <row r="173" spans="1:15" s="12" customFormat="1">
      <c r="H173" s="201"/>
      <c r="O173" s="205"/>
    </row>
    <row r="174" spans="1:15" s="12" customFormat="1">
      <c r="H174" s="201"/>
      <c r="O174" s="205"/>
    </row>
    <row r="175" spans="1:15" s="12" customFormat="1">
      <c r="H175" s="201"/>
      <c r="O175" s="205"/>
    </row>
    <row r="176" spans="1:15" s="12" customFormat="1">
      <c r="H176" s="201"/>
      <c r="O176" s="205"/>
    </row>
    <row r="177" spans="8:15" s="12" customFormat="1">
      <c r="H177" s="201"/>
      <c r="O177" s="205"/>
    </row>
    <row r="178" spans="8:15" s="12" customFormat="1">
      <c r="H178" s="201"/>
      <c r="O178" s="205"/>
    </row>
    <row r="179" spans="8:15" s="12" customFormat="1">
      <c r="H179" s="201"/>
      <c r="O179" s="205"/>
    </row>
    <row r="180" spans="8:15" s="12" customFormat="1">
      <c r="H180" s="201"/>
      <c r="O180" s="205"/>
    </row>
    <row r="181" spans="8:15" s="12" customFormat="1">
      <c r="H181" s="201"/>
      <c r="O181" s="205"/>
    </row>
    <row r="182" spans="8:15" s="12" customFormat="1">
      <c r="H182" s="201"/>
      <c r="O182" s="205"/>
    </row>
    <row r="183" spans="8:15" s="12" customFormat="1">
      <c r="H183" s="201"/>
      <c r="O183" s="205"/>
    </row>
    <row r="184" spans="8:15" s="12" customFormat="1">
      <c r="H184" s="201"/>
      <c r="O184" s="205"/>
    </row>
    <row r="185" spans="8:15" s="12" customFormat="1">
      <c r="H185" s="201"/>
      <c r="O185" s="205"/>
    </row>
    <row r="186" spans="8:15" s="12" customFormat="1">
      <c r="H186" s="201"/>
      <c r="O186" s="205"/>
    </row>
    <row r="187" spans="8:15" s="12" customFormat="1">
      <c r="H187" s="201"/>
      <c r="O187" s="205"/>
    </row>
    <row r="188" spans="8:15" s="12" customFormat="1">
      <c r="H188" s="201"/>
      <c r="O188" s="205"/>
    </row>
    <row r="189" spans="8:15" s="12" customFormat="1">
      <c r="H189" s="201"/>
      <c r="O189" s="205"/>
    </row>
    <row r="190" spans="8:15" s="12" customFormat="1">
      <c r="H190" s="201"/>
      <c r="O190" s="205"/>
    </row>
    <row r="191" spans="8:15" s="12" customFormat="1">
      <c r="H191" s="201"/>
      <c r="O191" s="205"/>
    </row>
    <row r="192" spans="8:15" s="12" customFormat="1">
      <c r="H192" s="201"/>
      <c r="O192" s="205"/>
    </row>
    <row r="193" spans="8:15" s="12" customFormat="1">
      <c r="H193" s="201"/>
      <c r="O193" s="205"/>
    </row>
    <row r="194" spans="8:15" s="12" customFormat="1">
      <c r="H194" s="201"/>
      <c r="O194" s="205"/>
    </row>
    <row r="195" spans="8:15" s="12" customFormat="1">
      <c r="H195" s="201"/>
      <c r="O195" s="205"/>
    </row>
    <row r="196" spans="8:15" s="12" customFormat="1">
      <c r="H196" s="201"/>
      <c r="O196" s="205"/>
    </row>
    <row r="197" spans="8:15" s="12" customFormat="1">
      <c r="H197" s="201"/>
      <c r="O197" s="205"/>
    </row>
    <row r="198" spans="8:15" s="12" customFormat="1">
      <c r="H198" s="201"/>
      <c r="O198" s="205"/>
    </row>
    <row r="199" spans="8:15" s="12" customFormat="1">
      <c r="H199" s="201"/>
      <c r="O199" s="205"/>
    </row>
    <row r="200" spans="8:15" s="12" customFormat="1">
      <c r="H200" s="201"/>
      <c r="O200" s="205"/>
    </row>
    <row r="201" spans="8:15" s="12" customFormat="1">
      <c r="H201" s="201"/>
      <c r="O201" s="205"/>
    </row>
    <row r="202" spans="8:15" s="12" customFormat="1">
      <c r="H202" s="201"/>
      <c r="O202" s="205"/>
    </row>
    <row r="203" spans="8:15" s="12" customFormat="1">
      <c r="H203" s="201"/>
      <c r="O203" s="205"/>
    </row>
    <row r="204" spans="8:15" s="12" customFormat="1">
      <c r="H204" s="201"/>
      <c r="O204" s="205"/>
    </row>
    <row r="205" spans="8:15" s="12" customFormat="1">
      <c r="H205" s="201"/>
      <c r="O205" s="205"/>
    </row>
    <row r="206" spans="8:15" s="12" customFormat="1">
      <c r="H206" s="201"/>
      <c r="O206" s="205"/>
    </row>
    <row r="207" spans="8:15" s="12" customFormat="1">
      <c r="H207" s="201"/>
      <c r="O207" s="205"/>
    </row>
    <row r="208" spans="8:15" s="12" customFormat="1">
      <c r="H208" s="201"/>
      <c r="O208" s="205"/>
    </row>
    <row r="209" spans="8:15" s="12" customFormat="1">
      <c r="H209" s="201"/>
      <c r="O209" s="205"/>
    </row>
    <row r="210" spans="8:15" s="12" customFormat="1">
      <c r="H210" s="201"/>
      <c r="O210" s="205"/>
    </row>
    <row r="211" spans="8:15" s="12" customFormat="1">
      <c r="H211" s="201"/>
      <c r="O211" s="205"/>
    </row>
    <row r="212" spans="8:15" s="12" customFormat="1">
      <c r="H212" s="201"/>
      <c r="O212" s="205"/>
    </row>
    <row r="213" spans="8:15" s="12" customFormat="1">
      <c r="H213" s="201"/>
      <c r="O213" s="205"/>
    </row>
    <row r="214" spans="8:15" s="12" customFormat="1">
      <c r="H214" s="201"/>
      <c r="O214" s="205"/>
    </row>
    <row r="215" spans="8:15" s="12" customFormat="1">
      <c r="H215" s="201"/>
      <c r="O215" s="205"/>
    </row>
    <row r="216" spans="8:15" s="12" customFormat="1">
      <c r="H216" s="201"/>
      <c r="O216" s="205"/>
    </row>
    <row r="217" spans="8:15" s="12" customFormat="1">
      <c r="H217" s="201"/>
      <c r="O217" s="205"/>
    </row>
    <row r="218" spans="8:15" s="12" customFormat="1">
      <c r="H218" s="201"/>
      <c r="O218" s="205"/>
    </row>
    <row r="219" spans="8:15" s="12" customFormat="1">
      <c r="H219" s="201"/>
      <c r="O219" s="205"/>
    </row>
    <row r="220" spans="8:15" s="12" customFormat="1">
      <c r="H220" s="201"/>
      <c r="O220" s="205"/>
    </row>
    <row r="221" spans="8:15" s="12" customFormat="1">
      <c r="H221" s="201"/>
      <c r="O221" s="205"/>
    </row>
    <row r="222" spans="8:15" s="12" customFormat="1">
      <c r="H222" s="201"/>
      <c r="O222" s="205"/>
    </row>
    <row r="223" spans="8:15" s="12" customFormat="1">
      <c r="H223" s="201"/>
      <c r="O223" s="205"/>
    </row>
    <row r="224" spans="8:15" s="12" customFormat="1">
      <c r="H224" s="201"/>
      <c r="O224" s="205"/>
    </row>
    <row r="225" spans="8:15" s="12" customFormat="1">
      <c r="H225" s="201"/>
      <c r="O225" s="205"/>
    </row>
    <row r="226" spans="8:15" s="12" customFormat="1">
      <c r="H226" s="201"/>
      <c r="O226" s="205"/>
    </row>
    <row r="227" spans="8:15" s="12" customFormat="1">
      <c r="H227" s="201"/>
      <c r="O227" s="205"/>
    </row>
    <row r="228" spans="8:15" s="12" customFormat="1">
      <c r="H228" s="201"/>
      <c r="O228" s="205"/>
    </row>
    <row r="229" spans="8:15" s="12" customFormat="1">
      <c r="H229" s="201"/>
      <c r="O229" s="205"/>
    </row>
    <row r="230" spans="8:15" s="12" customFormat="1">
      <c r="H230" s="201"/>
      <c r="O230" s="205"/>
    </row>
    <row r="231" spans="8:15" s="12" customFormat="1">
      <c r="H231" s="201"/>
      <c r="O231" s="205"/>
    </row>
    <row r="232" spans="8:15" s="12" customFormat="1">
      <c r="H232" s="201"/>
      <c r="O232" s="205"/>
    </row>
    <row r="233" spans="8:15" s="12" customFormat="1">
      <c r="H233" s="201"/>
      <c r="O233" s="205"/>
    </row>
    <row r="234" spans="8:15" s="12" customFormat="1">
      <c r="H234" s="201"/>
      <c r="O234" s="205"/>
    </row>
    <row r="235" spans="8:15" s="12" customFormat="1">
      <c r="H235" s="201"/>
      <c r="O235" s="205"/>
    </row>
    <row r="236" spans="8:15" s="12" customFormat="1">
      <c r="H236" s="201"/>
      <c r="O236" s="205"/>
    </row>
    <row r="237" spans="8:15" s="12" customFormat="1">
      <c r="H237" s="201"/>
      <c r="O237" s="205"/>
    </row>
    <row r="238" spans="8:15" s="12" customFormat="1">
      <c r="H238" s="201"/>
      <c r="O238" s="205"/>
    </row>
    <row r="239" spans="8:15" s="12" customFormat="1">
      <c r="H239" s="201"/>
      <c r="O239" s="205"/>
    </row>
    <row r="240" spans="8:15" s="12" customFormat="1">
      <c r="H240" s="201"/>
      <c r="O240" s="205"/>
    </row>
    <row r="241" spans="8:15" s="12" customFormat="1">
      <c r="H241" s="201"/>
      <c r="O241" s="205"/>
    </row>
    <row r="242" spans="8:15" s="12" customFormat="1">
      <c r="H242" s="201"/>
      <c r="O242" s="205"/>
    </row>
    <row r="243" spans="8:15" s="12" customFormat="1">
      <c r="H243" s="201"/>
      <c r="O243" s="205"/>
    </row>
    <row r="244" spans="8:15" s="12" customFormat="1">
      <c r="H244" s="201"/>
      <c r="O244" s="205"/>
    </row>
    <row r="245" spans="8:15" s="12" customFormat="1">
      <c r="H245" s="201"/>
      <c r="O245" s="205"/>
    </row>
    <row r="246" spans="8:15" s="12" customFormat="1">
      <c r="H246" s="201"/>
      <c r="O246" s="205"/>
    </row>
    <row r="247" spans="8:15" s="12" customFormat="1">
      <c r="H247" s="201"/>
      <c r="O247" s="205"/>
    </row>
    <row r="248" spans="8:15" s="12" customFormat="1">
      <c r="H248" s="201"/>
      <c r="O248" s="205"/>
    </row>
    <row r="249" spans="8:15" s="12" customFormat="1">
      <c r="H249" s="201"/>
      <c r="O249" s="205"/>
    </row>
    <row r="250" spans="8:15" s="12" customFormat="1">
      <c r="H250" s="201"/>
      <c r="O250" s="205"/>
    </row>
    <row r="251" spans="8:15" s="12" customFormat="1">
      <c r="H251" s="201"/>
      <c r="O251" s="205"/>
    </row>
    <row r="252" spans="8:15" s="12" customFormat="1">
      <c r="H252" s="201"/>
      <c r="O252" s="205"/>
    </row>
    <row r="253" spans="8:15" s="12" customFormat="1">
      <c r="H253" s="201"/>
      <c r="O253" s="205"/>
    </row>
    <row r="254" spans="8:15" s="12" customFormat="1">
      <c r="H254" s="201"/>
      <c r="O254" s="205"/>
    </row>
    <row r="255" spans="8:15" s="12" customFormat="1">
      <c r="H255" s="201"/>
      <c r="O255" s="205"/>
    </row>
    <row r="256" spans="8:15" s="12" customFormat="1">
      <c r="H256" s="201"/>
      <c r="O256" s="205"/>
    </row>
    <row r="257" spans="8:15" s="12" customFormat="1">
      <c r="H257" s="201"/>
      <c r="O257" s="205"/>
    </row>
    <row r="258" spans="8:15" s="12" customFormat="1">
      <c r="H258" s="201"/>
      <c r="O258" s="205"/>
    </row>
    <row r="259" spans="8:15" s="12" customFormat="1">
      <c r="H259" s="201"/>
      <c r="O259" s="205"/>
    </row>
    <row r="260" spans="8:15" s="12" customFormat="1">
      <c r="H260" s="201"/>
      <c r="O260" s="205"/>
    </row>
    <row r="261" spans="8:15" s="12" customFormat="1">
      <c r="H261" s="201"/>
      <c r="O261" s="205"/>
    </row>
    <row r="262" spans="8:15" s="12" customFormat="1">
      <c r="H262" s="201"/>
      <c r="O262" s="205"/>
    </row>
    <row r="263" spans="8:15" s="12" customFormat="1">
      <c r="H263" s="201"/>
      <c r="O263" s="205"/>
    </row>
    <row r="264" spans="8:15" s="12" customFormat="1">
      <c r="H264" s="201"/>
      <c r="O264" s="205"/>
    </row>
    <row r="265" spans="8:15" s="12" customFormat="1">
      <c r="H265" s="201"/>
      <c r="O265" s="205"/>
    </row>
    <row r="266" spans="8:15" s="12" customFormat="1">
      <c r="H266" s="201"/>
      <c r="O266" s="205"/>
    </row>
    <row r="267" spans="8:15" s="12" customFormat="1">
      <c r="H267" s="201"/>
      <c r="O267" s="205"/>
    </row>
    <row r="268" spans="8:15" s="12" customFormat="1">
      <c r="H268" s="201"/>
      <c r="O268" s="205"/>
    </row>
    <row r="269" spans="8:15" s="12" customFormat="1">
      <c r="H269" s="201"/>
      <c r="O269" s="205"/>
    </row>
    <row r="270" spans="8:15" s="12" customFormat="1">
      <c r="H270" s="201"/>
      <c r="O270" s="205"/>
    </row>
    <row r="271" spans="8:15" s="12" customFormat="1">
      <c r="H271" s="201"/>
      <c r="O271" s="205"/>
    </row>
    <row r="272" spans="8:15" s="12" customFormat="1">
      <c r="H272" s="201"/>
      <c r="O272" s="205"/>
    </row>
    <row r="273" spans="8:15" s="12" customFormat="1">
      <c r="H273" s="201"/>
      <c r="O273" s="205"/>
    </row>
    <row r="274" spans="8:15" s="12" customFormat="1">
      <c r="H274" s="201"/>
      <c r="O274" s="205"/>
    </row>
    <row r="275" spans="8:15" s="12" customFormat="1">
      <c r="H275" s="201"/>
      <c r="O275" s="205"/>
    </row>
    <row r="276" spans="8:15" s="12" customFormat="1">
      <c r="H276" s="201"/>
      <c r="O276" s="205"/>
    </row>
    <row r="277" spans="8:15" s="12" customFormat="1">
      <c r="H277" s="201"/>
      <c r="O277" s="205"/>
    </row>
    <row r="278" spans="8:15" s="12" customFormat="1">
      <c r="H278" s="201"/>
      <c r="O278" s="205"/>
    </row>
    <row r="279" spans="8:15" s="12" customFormat="1">
      <c r="H279" s="201"/>
      <c r="O279" s="205"/>
    </row>
    <row r="280" spans="8:15" s="12" customFormat="1">
      <c r="H280" s="201"/>
      <c r="O280" s="205"/>
    </row>
    <row r="281" spans="8:15" s="12" customFormat="1">
      <c r="H281" s="201"/>
      <c r="O281" s="205"/>
    </row>
    <row r="282" spans="8:15" s="12" customFormat="1">
      <c r="H282" s="201"/>
      <c r="O282" s="205"/>
    </row>
    <row r="283" spans="8:15" s="12" customFormat="1">
      <c r="H283" s="201"/>
      <c r="O283" s="205"/>
    </row>
    <row r="284" spans="8:15" s="12" customFormat="1">
      <c r="H284" s="201"/>
      <c r="O284" s="205"/>
    </row>
    <row r="285" spans="8:15" s="12" customFormat="1">
      <c r="H285" s="201"/>
      <c r="O285" s="205"/>
    </row>
    <row r="286" spans="8:15" s="12" customFormat="1">
      <c r="H286" s="201"/>
      <c r="O286" s="205"/>
    </row>
    <row r="287" spans="8:15" s="12" customFormat="1">
      <c r="H287" s="201"/>
      <c r="O287" s="205"/>
    </row>
    <row r="288" spans="8:15" s="12" customFormat="1">
      <c r="H288" s="201"/>
      <c r="O288" s="205"/>
    </row>
    <row r="289" spans="8:15" s="12" customFormat="1">
      <c r="H289" s="201"/>
      <c r="O289" s="205"/>
    </row>
    <row r="290" spans="8:15" s="12" customFormat="1">
      <c r="H290" s="201"/>
      <c r="O290" s="205"/>
    </row>
    <row r="291" spans="8:15" s="12" customFormat="1">
      <c r="H291" s="201"/>
      <c r="O291" s="205"/>
    </row>
    <row r="292" spans="8:15" s="12" customFormat="1">
      <c r="H292" s="201"/>
      <c r="O292" s="205"/>
    </row>
    <row r="293" spans="8:15" s="12" customFormat="1">
      <c r="H293" s="201"/>
      <c r="O293" s="205"/>
    </row>
    <row r="294" spans="8:15" s="12" customFormat="1">
      <c r="H294" s="201"/>
      <c r="O294" s="205"/>
    </row>
    <row r="295" spans="8:15" s="12" customFormat="1">
      <c r="H295" s="201"/>
      <c r="O295" s="205"/>
    </row>
    <row r="296" spans="8:15" s="12" customFormat="1">
      <c r="H296" s="201"/>
      <c r="O296" s="205"/>
    </row>
    <row r="297" spans="8:15" s="12" customFormat="1">
      <c r="H297" s="201"/>
      <c r="O297" s="205"/>
    </row>
    <row r="298" spans="8:15" s="12" customFormat="1">
      <c r="H298" s="201"/>
      <c r="O298" s="205"/>
    </row>
    <row r="299" spans="8:15" s="12" customFormat="1">
      <c r="H299" s="201"/>
      <c r="O299" s="205"/>
    </row>
    <row r="300" spans="8:15" s="12" customFormat="1">
      <c r="H300" s="201"/>
      <c r="O300" s="205"/>
    </row>
    <row r="301" spans="8:15" s="12" customFormat="1">
      <c r="H301" s="201"/>
      <c r="O301" s="205"/>
    </row>
    <row r="302" spans="8:15" s="12" customFormat="1">
      <c r="H302" s="201"/>
      <c r="O302" s="205"/>
    </row>
    <row r="303" spans="8:15" s="12" customFormat="1">
      <c r="H303" s="201"/>
      <c r="O303" s="205"/>
    </row>
    <row r="304" spans="8:15" s="12" customFormat="1">
      <c r="H304" s="201"/>
      <c r="O304" s="205"/>
    </row>
    <row r="305" spans="8:15" s="12" customFormat="1">
      <c r="H305" s="201"/>
      <c r="O305" s="205"/>
    </row>
    <row r="306" spans="8:15" s="12" customFormat="1">
      <c r="H306" s="201"/>
      <c r="O306" s="205"/>
    </row>
    <row r="307" spans="8:15" s="12" customFormat="1">
      <c r="H307" s="201"/>
      <c r="O307" s="205"/>
    </row>
    <row r="308" spans="8:15" s="12" customFormat="1">
      <c r="H308" s="201"/>
      <c r="O308" s="205"/>
    </row>
    <row r="309" spans="8:15" s="12" customFormat="1">
      <c r="H309" s="201"/>
      <c r="O309" s="205"/>
    </row>
    <row r="310" spans="8:15" s="12" customFormat="1">
      <c r="H310" s="201"/>
      <c r="O310" s="205"/>
    </row>
    <row r="311" spans="8:15" s="12" customFormat="1">
      <c r="H311" s="201"/>
      <c r="O311" s="205"/>
    </row>
    <row r="312" spans="8:15" s="12" customFormat="1">
      <c r="H312" s="201"/>
      <c r="O312" s="205"/>
    </row>
    <row r="313" spans="8:15" s="12" customFormat="1">
      <c r="H313" s="201"/>
      <c r="O313" s="205"/>
    </row>
    <row r="314" spans="8:15" s="12" customFormat="1">
      <c r="H314" s="201"/>
      <c r="O314" s="205"/>
    </row>
    <row r="315" spans="8:15" s="12" customFormat="1">
      <c r="H315" s="201"/>
      <c r="O315" s="205"/>
    </row>
    <row r="316" spans="8:15" s="12" customFormat="1">
      <c r="H316" s="201"/>
      <c r="O316" s="205"/>
    </row>
    <row r="317" spans="8:15" s="12" customFormat="1">
      <c r="H317" s="201"/>
      <c r="O317" s="205"/>
    </row>
    <row r="318" spans="8:15" s="12" customFormat="1">
      <c r="H318" s="201"/>
      <c r="O318" s="205"/>
    </row>
    <row r="319" spans="8:15" s="12" customFormat="1">
      <c r="H319" s="201"/>
      <c r="O319" s="205"/>
    </row>
    <row r="320" spans="8:15" s="12" customFormat="1">
      <c r="H320" s="201"/>
      <c r="O320" s="205"/>
    </row>
    <row r="321" spans="8:15" s="12" customFormat="1">
      <c r="H321" s="201"/>
      <c r="O321" s="205"/>
    </row>
    <row r="322" spans="8:15" s="12" customFormat="1">
      <c r="H322" s="201"/>
      <c r="O322" s="205"/>
    </row>
    <row r="323" spans="8:15" s="12" customFormat="1">
      <c r="H323" s="201"/>
      <c r="O323" s="205"/>
    </row>
    <row r="324" spans="8:15" s="12" customFormat="1">
      <c r="H324" s="201"/>
      <c r="O324" s="205"/>
    </row>
    <row r="325" spans="8:15" s="12" customFormat="1">
      <c r="H325" s="201"/>
      <c r="O325" s="205"/>
    </row>
    <row r="326" spans="8:15" s="12" customFormat="1">
      <c r="H326" s="201"/>
      <c r="O326" s="205"/>
    </row>
    <row r="327" spans="8:15" s="12" customFormat="1">
      <c r="H327" s="201"/>
      <c r="O327" s="205"/>
    </row>
    <row r="328" spans="8:15" s="12" customFormat="1">
      <c r="H328" s="201"/>
      <c r="O328" s="205"/>
    </row>
    <row r="329" spans="8:15" s="12" customFormat="1">
      <c r="H329" s="201"/>
      <c r="O329" s="205"/>
    </row>
    <row r="330" spans="8:15" s="12" customFormat="1">
      <c r="H330" s="201"/>
      <c r="O330" s="205"/>
    </row>
    <row r="331" spans="8:15" s="12" customFormat="1">
      <c r="H331" s="201"/>
      <c r="O331" s="205"/>
    </row>
    <row r="332" spans="8:15" s="12" customFormat="1">
      <c r="H332" s="201"/>
      <c r="O332" s="205"/>
    </row>
    <row r="333" spans="8:15" s="12" customFormat="1">
      <c r="H333" s="201"/>
      <c r="O333" s="205"/>
    </row>
    <row r="334" spans="8:15" s="12" customFormat="1">
      <c r="H334" s="201"/>
      <c r="O334" s="205"/>
    </row>
    <row r="335" spans="8:15" s="12" customFormat="1">
      <c r="H335" s="201"/>
      <c r="O335" s="205"/>
    </row>
    <row r="336" spans="8:15" s="12" customFormat="1">
      <c r="H336" s="201"/>
      <c r="O336" s="205"/>
    </row>
    <row r="337" spans="8:15" s="12" customFormat="1">
      <c r="H337" s="201"/>
      <c r="O337" s="205"/>
    </row>
    <row r="338" spans="8:15" s="12" customFormat="1">
      <c r="H338" s="201"/>
      <c r="O338" s="205"/>
    </row>
    <row r="339" spans="8:15" s="12" customFormat="1">
      <c r="H339" s="201"/>
      <c r="O339" s="205"/>
    </row>
    <row r="340" spans="8:15" s="12" customFormat="1">
      <c r="H340" s="201"/>
      <c r="O340" s="205"/>
    </row>
    <row r="341" spans="8:15" s="12" customFormat="1">
      <c r="H341" s="201"/>
      <c r="O341" s="205"/>
    </row>
    <row r="342" spans="8:15" s="12" customFormat="1">
      <c r="H342" s="201"/>
      <c r="O342" s="205"/>
    </row>
    <row r="343" spans="8:15" s="12" customFormat="1">
      <c r="H343" s="201"/>
      <c r="O343" s="205"/>
    </row>
    <row r="344" spans="8:15" s="12" customFormat="1">
      <c r="H344" s="201"/>
      <c r="O344" s="205"/>
    </row>
    <row r="345" spans="8:15" s="12" customFormat="1">
      <c r="H345" s="201"/>
      <c r="O345" s="205"/>
    </row>
    <row r="346" spans="8:15" s="12" customFormat="1">
      <c r="H346" s="201"/>
      <c r="O346" s="205"/>
    </row>
    <row r="347" spans="8:15" s="12" customFormat="1">
      <c r="H347" s="201"/>
      <c r="O347" s="205"/>
    </row>
    <row r="348" spans="8:15" s="12" customFormat="1">
      <c r="H348" s="201"/>
      <c r="O348" s="205"/>
    </row>
    <row r="349" spans="8:15" s="12" customFormat="1">
      <c r="H349" s="201"/>
      <c r="O349" s="205"/>
    </row>
    <row r="350" spans="8:15" s="12" customFormat="1">
      <c r="H350" s="201"/>
      <c r="O350" s="205"/>
    </row>
    <row r="351" spans="8:15" s="12" customFormat="1">
      <c r="H351" s="201"/>
      <c r="O351" s="205"/>
    </row>
    <row r="352" spans="8:15" s="12" customFormat="1">
      <c r="H352" s="201"/>
      <c r="O352" s="205"/>
    </row>
    <row r="353" spans="8:15" s="12" customFormat="1">
      <c r="H353" s="201"/>
      <c r="O353" s="205"/>
    </row>
    <row r="354" spans="8:15" s="12" customFormat="1">
      <c r="H354" s="201"/>
      <c r="O354" s="205"/>
    </row>
    <row r="355" spans="8:15" s="12" customFormat="1">
      <c r="H355" s="201"/>
      <c r="O355" s="205"/>
    </row>
    <row r="356" spans="8:15" s="12" customFormat="1">
      <c r="H356" s="201"/>
      <c r="O356" s="205"/>
    </row>
    <row r="357" spans="8:15" s="12" customFormat="1">
      <c r="H357" s="201"/>
      <c r="O357" s="205"/>
    </row>
    <row r="358" spans="8:15" s="12" customFormat="1">
      <c r="H358" s="201"/>
      <c r="O358" s="205"/>
    </row>
    <row r="359" spans="8:15" s="12" customFormat="1">
      <c r="H359" s="201"/>
      <c r="O359" s="205"/>
    </row>
    <row r="360" spans="8:15" s="12" customFormat="1">
      <c r="H360" s="201"/>
      <c r="O360" s="205"/>
    </row>
    <row r="361" spans="8:15" s="12" customFormat="1">
      <c r="H361" s="201"/>
      <c r="O361" s="205"/>
    </row>
    <row r="362" spans="8:15" s="12" customFormat="1">
      <c r="H362" s="201"/>
      <c r="O362" s="205"/>
    </row>
    <row r="363" spans="8:15" s="12" customFormat="1">
      <c r="H363" s="201"/>
      <c r="O363" s="205"/>
    </row>
    <row r="364" spans="8:15" s="12" customFormat="1">
      <c r="H364" s="201"/>
      <c r="O364" s="205"/>
    </row>
    <row r="365" spans="8:15" s="12" customFormat="1">
      <c r="H365" s="201"/>
      <c r="O365" s="205"/>
    </row>
    <row r="366" spans="8:15" s="12" customFormat="1">
      <c r="H366" s="201"/>
      <c r="O366" s="205"/>
    </row>
    <row r="367" spans="8:15" s="12" customFormat="1">
      <c r="H367" s="201"/>
      <c r="O367" s="205"/>
    </row>
    <row r="368" spans="8:15" s="12" customFormat="1">
      <c r="H368" s="201"/>
      <c r="O368" s="205"/>
    </row>
    <row r="369" spans="8:15" s="12" customFormat="1">
      <c r="H369" s="201"/>
      <c r="O369" s="205"/>
    </row>
    <row r="370" spans="8:15" s="12" customFormat="1">
      <c r="H370" s="201"/>
      <c r="O370" s="205"/>
    </row>
    <row r="371" spans="8:15" s="12" customFormat="1">
      <c r="H371" s="201"/>
      <c r="O371" s="205"/>
    </row>
    <row r="372" spans="8:15" s="12" customFormat="1">
      <c r="H372" s="201"/>
      <c r="O372" s="205"/>
    </row>
    <row r="373" spans="8:15" s="12" customFormat="1">
      <c r="H373" s="201"/>
      <c r="O373" s="205"/>
    </row>
    <row r="374" spans="8:15" s="12" customFormat="1">
      <c r="H374" s="201"/>
      <c r="O374" s="205"/>
    </row>
    <row r="375" spans="8:15" s="12" customFormat="1">
      <c r="H375" s="201"/>
      <c r="O375" s="205"/>
    </row>
    <row r="376" spans="8:15" s="12" customFormat="1">
      <c r="H376" s="201"/>
      <c r="O376" s="205"/>
    </row>
    <row r="377" spans="8:15" s="12" customFormat="1">
      <c r="H377" s="201"/>
      <c r="O377" s="205"/>
    </row>
    <row r="378" spans="8:15" s="12" customFormat="1">
      <c r="H378" s="201"/>
      <c r="O378" s="205"/>
    </row>
    <row r="379" spans="8:15" s="12" customFormat="1">
      <c r="H379" s="201"/>
      <c r="O379" s="205"/>
    </row>
    <row r="380" spans="8:15" s="12" customFormat="1">
      <c r="H380" s="201"/>
      <c r="O380" s="205"/>
    </row>
    <row r="381" spans="8:15" s="12" customFormat="1">
      <c r="H381" s="201"/>
      <c r="O381" s="205"/>
    </row>
    <row r="382" spans="8:15" s="12" customFormat="1">
      <c r="H382" s="201"/>
      <c r="O382" s="205"/>
    </row>
    <row r="383" spans="8:15" s="12" customFormat="1">
      <c r="H383" s="201"/>
      <c r="O383" s="205"/>
    </row>
    <row r="384" spans="8:15" s="12" customFormat="1">
      <c r="H384" s="201"/>
      <c r="O384" s="205"/>
    </row>
    <row r="385" spans="8:15" s="12" customFormat="1">
      <c r="H385" s="201"/>
      <c r="O385" s="205"/>
    </row>
    <row r="386" spans="8:15" s="12" customFormat="1">
      <c r="H386" s="201"/>
      <c r="O386" s="205"/>
    </row>
    <row r="387" spans="8:15" s="12" customFormat="1">
      <c r="H387" s="201"/>
      <c r="O387" s="205"/>
    </row>
    <row r="388" spans="8:15" s="12" customFormat="1">
      <c r="H388" s="201"/>
      <c r="O388" s="205"/>
    </row>
    <row r="389" spans="8:15" s="12" customFormat="1">
      <c r="H389" s="201"/>
      <c r="O389" s="205"/>
    </row>
    <row r="390" spans="8:15" s="12" customFormat="1">
      <c r="H390" s="201"/>
      <c r="O390" s="205"/>
    </row>
    <row r="391" spans="8:15" s="12" customFormat="1">
      <c r="H391" s="201"/>
      <c r="O391" s="205"/>
    </row>
    <row r="392" spans="8:15" s="12" customFormat="1">
      <c r="H392" s="201"/>
      <c r="O392" s="205"/>
    </row>
    <row r="393" spans="8:15" s="12" customFormat="1">
      <c r="H393" s="201"/>
      <c r="O393" s="205"/>
    </row>
    <row r="394" spans="8:15" s="12" customFormat="1">
      <c r="H394" s="201"/>
      <c r="O394" s="205"/>
    </row>
    <row r="395" spans="8:15" s="12" customFormat="1">
      <c r="H395" s="201"/>
      <c r="O395" s="205"/>
    </row>
    <row r="396" spans="8:15" s="12" customFormat="1">
      <c r="H396" s="201"/>
      <c r="O396" s="205"/>
    </row>
    <row r="397" spans="8:15" s="12" customFormat="1">
      <c r="H397" s="201"/>
      <c r="O397" s="205"/>
    </row>
    <row r="398" spans="8:15" s="12" customFormat="1">
      <c r="H398" s="201"/>
      <c r="O398" s="205"/>
    </row>
    <row r="399" spans="8:15" s="12" customFormat="1">
      <c r="H399" s="201"/>
      <c r="O399" s="205"/>
    </row>
    <row r="400" spans="8:15" s="12" customFormat="1">
      <c r="H400" s="201"/>
      <c r="O400" s="205"/>
    </row>
    <row r="401" spans="8:15" s="12" customFormat="1">
      <c r="H401" s="201"/>
      <c r="O401" s="205"/>
    </row>
    <row r="402" spans="8:15" s="12" customFormat="1">
      <c r="H402" s="201"/>
      <c r="O402" s="205"/>
    </row>
    <row r="403" spans="8:15" s="12" customFormat="1">
      <c r="H403" s="201"/>
      <c r="O403" s="205"/>
    </row>
    <row r="404" spans="8:15" s="12" customFormat="1">
      <c r="H404" s="201"/>
      <c r="O404" s="205"/>
    </row>
    <row r="405" spans="8:15" s="12" customFormat="1">
      <c r="H405" s="201"/>
      <c r="O405" s="205"/>
    </row>
    <row r="406" spans="8:15" s="12" customFormat="1">
      <c r="H406" s="201"/>
      <c r="O406" s="205"/>
    </row>
    <row r="407" spans="8:15" s="12" customFormat="1">
      <c r="H407" s="201"/>
      <c r="O407" s="205"/>
    </row>
    <row r="408" spans="8:15" s="12" customFormat="1">
      <c r="H408" s="201"/>
      <c r="O408" s="205"/>
    </row>
    <row r="409" spans="8:15" s="12" customFormat="1">
      <c r="H409" s="201"/>
      <c r="O409" s="205"/>
    </row>
    <row r="410" spans="8:15" s="12" customFormat="1">
      <c r="H410" s="201"/>
      <c r="O410" s="205"/>
    </row>
    <row r="411" spans="8:15" s="12" customFormat="1">
      <c r="H411" s="201"/>
      <c r="O411" s="205"/>
    </row>
    <row r="412" spans="8:15" s="12" customFormat="1">
      <c r="H412" s="201"/>
      <c r="O412" s="205"/>
    </row>
    <row r="413" spans="8:15" s="12" customFormat="1">
      <c r="H413" s="201"/>
      <c r="O413" s="205"/>
    </row>
    <row r="414" spans="8:15" s="12" customFormat="1">
      <c r="H414" s="201"/>
      <c r="O414" s="205"/>
    </row>
    <row r="415" spans="8:15" s="12" customFormat="1">
      <c r="H415" s="201"/>
      <c r="O415" s="205"/>
    </row>
    <row r="416" spans="8:15" s="12" customFormat="1">
      <c r="H416" s="201"/>
      <c r="O416" s="205"/>
    </row>
    <row r="417" spans="8:15" s="12" customFormat="1">
      <c r="H417" s="201"/>
      <c r="O417" s="205"/>
    </row>
    <row r="418" spans="8:15" s="12" customFormat="1">
      <c r="H418" s="201"/>
      <c r="O418" s="205"/>
    </row>
    <row r="419" spans="8:15" s="12" customFormat="1">
      <c r="H419" s="201"/>
      <c r="O419" s="205"/>
    </row>
    <row r="420" spans="8:15" s="12" customFormat="1">
      <c r="H420" s="201"/>
      <c r="O420" s="205"/>
    </row>
    <row r="421" spans="8:15" s="12" customFormat="1">
      <c r="H421" s="201"/>
      <c r="O421" s="205"/>
    </row>
    <row r="422" spans="8:15" s="12" customFormat="1">
      <c r="H422" s="201"/>
      <c r="O422" s="205"/>
    </row>
    <row r="423" spans="8:15" s="12" customFormat="1">
      <c r="H423" s="201"/>
      <c r="O423" s="205"/>
    </row>
    <row r="424" spans="8:15" s="12" customFormat="1">
      <c r="H424" s="201"/>
      <c r="O424" s="205"/>
    </row>
    <row r="425" spans="8:15" s="12" customFormat="1">
      <c r="H425" s="201"/>
      <c r="O425" s="205"/>
    </row>
    <row r="426" spans="8:15" s="12" customFormat="1">
      <c r="H426" s="201"/>
      <c r="O426" s="205"/>
    </row>
    <row r="427" spans="8:15" s="12" customFormat="1">
      <c r="H427" s="201"/>
      <c r="O427" s="205"/>
    </row>
    <row r="428" spans="8:15" s="12" customFormat="1">
      <c r="H428" s="201"/>
      <c r="O428" s="205"/>
    </row>
    <row r="429" spans="8:15" s="12" customFormat="1">
      <c r="H429" s="201"/>
      <c r="O429" s="205"/>
    </row>
    <row r="430" spans="8:15" s="12" customFormat="1">
      <c r="H430" s="201"/>
      <c r="O430" s="205"/>
    </row>
    <row r="431" spans="8:15" s="12" customFormat="1">
      <c r="H431" s="201"/>
      <c r="O431" s="205"/>
    </row>
    <row r="432" spans="8:15" s="12" customFormat="1">
      <c r="H432" s="201"/>
      <c r="O432" s="205"/>
    </row>
    <row r="433" spans="8:15" s="12" customFormat="1">
      <c r="H433" s="201"/>
      <c r="O433" s="205"/>
    </row>
    <row r="434" spans="8:15" s="12" customFormat="1">
      <c r="H434" s="201"/>
      <c r="O434" s="205"/>
    </row>
    <row r="435" spans="8:15" s="12" customFormat="1">
      <c r="H435" s="201"/>
      <c r="O435" s="205"/>
    </row>
    <row r="436" spans="8:15" s="12" customFormat="1">
      <c r="H436" s="201"/>
      <c r="O436" s="205"/>
    </row>
    <row r="437" spans="8:15" s="12" customFormat="1">
      <c r="H437" s="201"/>
      <c r="O437" s="205"/>
    </row>
    <row r="438" spans="8:15" s="12" customFormat="1">
      <c r="H438" s="201"/>
      <c r="O438" s="205"/>
    </row>
    <row r="439" spans="8:15" s="12" customFormat="1">
      <c r="H439" s="201"/>
      <c r="O439" s="205"/>
    </row>
    <row r="440" spans="8:15" s="12" customFormat="1">
      <c r="H440" s="201"/>
      <c r="O440" s="205"/>
    </row>
    <row r="441" spans="8:15" s="12" customFormat="1">
      <c r="H441" s="201"/>
      <c r="O441" s="205"/>
    </row>
    <row r="442" spans="8:15" s="12" customFormat="1">
      <c r="H442" s="201"/>
      <c r="O442" s="205"/>
    </row>
    <row r="443" spans="8:15" s="12" customFormat="1">
      <c r="H443" s="201"/>
      <c r="O443" s="205"/>
    </row>
    <row r="444" spans="8:15" s="12" customFormat="1">
      <c r="H444" s="201"/>
      <c r="O444" s="205"/>
    </row>
    <row r="445" spans="8:15" s="12" customFormat="1">
      <c r="H445" s="201"/>
      <c r="O445" s="205"/>
    </row>
    <row r="446" spans="8:15" s="12" customFormat="1">
      <c r="H446" s="201"/>
      <c r="O446" s="205"/>
    </row>
    <row r="447" spans="8:15" s="12" customFormat="1">
      <c r="H447" s="201"/>
      <c r="O447" s="205"/>
    </row>
    <row r="448" spans="8:15" s="12" customFormat="1">
      <c r="H448" s="201"/>
      <c r="O448" s="205"/>
    </row>
    <row r="449" spans="8:15" s="12" customFormat="1">
      <c r="H449" s="201"/>
      <c r="O449" s="205"/>
    </row>
    <row r="450" spans="8:15" s="12" customFormat="1">
      <c r="H450" s="201"/>
      <c r="O450" s="205"/>
    </row>
    <row r="451" spans="8:15" s="12" customFormat="1">
      <c r="H451" s="201"/>
      <c r="O451" s="205"/>
    </row>
    <row r="452" spans="8:15" s="12" customFormat="1">
      <c r="H452" s="201"/>
      <c r="O452" s="205"/>
    </row>
    <row r="453" spans="8:15" s="12" customFormat="1">
      <c r="H453" s="201"/>
      <c r="O453" s="205"/>
    </row>
    <row r="454" spans="8:15" s="12" customFormat="1">
      <c r="H454" s="201"/>
      <c r="O454" s="205"/>
    </row>
    <row r="455" spans="8:15" s="12" customFormat="1">
      <c r="H455" s="201"/>
      <c r="O455" s="205"/>
    </row>
    <row r="456" spans="8:15" s="12" customFormat="1">
      <c r="H456" s="201"/>
      <c r="O456" s="205"/>
    </row>
    <row r="457" spans="8:15" s="12" customFormat="1">
      <c r="H457" s="201"/>
      <c r="O457" s="205"/>
    </row>
    <row r="458" spans="8:15" s="12" customFormat="1">
      <c r="H458" s="201"/>
      <c r="O458" s="205"/>
    </row>
    <row r="459" spans="8:15" s="12" customFormat="1">
      <c r="H459" s="201"/>
      <c r="O459" s="205"/>
    </row>
    <row r="460" spans="8:15" s="12" customFormat="1">
      <c r="H460" s="201"/>
      <c r="O460" s="205"/>
    </row>
    <row r="461" spans="8:15" s="12" customFormat="1">
      <c r="H461" s="201"/>
      <c r="O461" s="205"/>
    </row>
    <row r="462" spans="8:15" s="12" customFormat="1">
      <c r="H462" s="201"/>
      <c r="O462" s="205"/>
    </row>
    <row r="463" spans="8:15" s="12" customFormat="1">
      <c r="H463" s="201"/>
      <c r="O463" s="205"/>
    </row>
    <row r="464" spans="8:15" s="12" customFormat="1">
      <c r="H464" s="201"/>
      <c r="O464" s="205"/>
    </row>
    <row r="465" spans="8:15" s="12" customFormat="1">
      <c r="H465" s="201"/>
      <c r="O465" s="205"/>
    </row>
    <row r="466" spans="8:15" s="12" customFormat="1">
      <c r="H466" s="201"/>
      <c r="O466" s="205"/>
    </row>
    <row r="467" spans="8:15" s="12" customFormat="1">
      <c r="H467" s="201"/>
      <c r="O467" s="205"/>
    </row>
    <row r="468" spans="8:15" s="12" customFormat="1">
      <c r="H468" s="201"/>
      <c r="O468" s="205"/>
    </row>
    <row r="469" spans="8:15" s="12" customFormat="1">
      <c r="H469" s="201"/>
      <c r="O469" s="205"/>
    </row>
    <row r="470" spans="8:15" s="12" customFormat="1">
      <c r="H470" s="201"/>
      <c r="O470" s="205"/>
    </row>
    <row r="471" spans="8:15" s="12" customFormat="1">
      <c r="H471" s="201"/>
      <c r="O471" s="205"/>
    </row>
    <row r="472" spans="8:15" s="12" customFormat="1">
      <c r="H472" s="201"/>
      <c r="O472" s="205"/>
    </row>
    <row r="473" spans="8:15" s="12" customFormat="1">
      <c r="H473" s="201"/>
      <c r="O473" s="205"/>
    </row>
    <row r="474" spans="8:15" s="12" customFormat="1">
      <c r="H474" s="201"/>
      <c r="O474" s="205"/>
    </row>
    <row r="475" spans="8:15" s="12" customFormat="1">
      <c r="H475" s="201"/>
      <c r="O475" s="205"/>
    </row>
    <row r="476" spans="8:15" s="12" customFormat="1">
      <c r="H476" s="201"/>
      <c r="O476" s="205"/>
    </row>
    <row r="477" spans="8:15" s="12" customFormat="1">
      <c r="H477" s="201"/>
      <c r="O477" s="205"/>
    </row>
    <row r="478" spans="8:15" s="12" customFormat="1">
      <c r="H478" s="201"/>
      <c r="O478" s="205"/>
    </row>
    <row r="479" spans="8:15" s="12" customFormat="1">
      <c r="H479" s="201"/>
      <c r="O479" s="205"/>
    </row>
    <row r="480" spans="8:15" s="12" customFormat="1">
      <c r="H480" s="201"/>
      <c r="O480" s="205"/>
    </row>
    <row r="481" spans="8:15" s="12" customFormat="1">
      <c r="H481" s="201"/>
      <c r="O481" s="205"/>
    </row>
    <row r="482" spans="8:15" s="12" customFormat="1">
      <c r="H482" s="201"/>
      <c r="O482" s="205"/>
    </row>
    <row r="483" spans="8:15" s="12" customFormat="1">
      <c r="H483" s="201"/>
      <c r="O483" s="205"/>
    </row>
    <row r="484" spans="8:15" s="12" customFormat="1">
      <c r="H484" s="201"/>
      <c r="O484" s="205"/>
    </row>
    <row r="485" spans="8:15" s="12" customFormat="1">
      <c r="H485" s="201"/>
      <c r="O485" s="205"/>
    </row>
    <row r="486" spans="8:15" s="12" customFormat="1">
      <c r="H486" s="201"/>
      <c r="O486" s="205"/>
    </row>
    <row r="487" spans="8:15" s="12" customFormat="1">
      <c r="H487" s="201"/>
      <c r="O487" s="205"/>
    </row>
    <row r="488" spans="8:15" s="12" customFormat="1">
      <c r="H488" s="201"/>
      <c r="O488" s="205"/>
    </row>
    <row r="489" spans="8:15" s="12" customFormat="1">
      <c r="H489" s="201"/>
      <c r="O489" s="205"/>
    </row>
    <row r="490" spans="8:15" s="12" customFormat="1">
      <c r="H490" s="201"/>
      <c r="O490" s="205"/>
    </row>
    <row r="491" spans="8:15" s="12" customFormat="1">
      <c r="H491" s="201"/>
      <c r="O491" s="205"/>
    </row>
    <row r="492" spans="8:15" s="12" customFormat="1">
      <c r="H492" s="201"/>
      <c r="O492" s="205"/>
    </row>
    <row r="493" spans="8:15" s="12" customFormat="1">
      <c r="H493" s="201"/>
      <c r="O493" s="205"/>
    </row>
    <row r="494" spans="8:15" s="12" customFormat="1">
      <c r="H494" s="201"/>
      <c r="O494" s="205"/>
    </row>
    <row r="495" spans="8:15" s="12" customFormat="1">
      <c r="H495" s="201"/>
      <c r="O495" s="205"/>
    </row>
    <row r="496" spans="8:15" s="12" customFormat="1">
      <c r="H496" s="201"/>
      <c r="O496" s="205"/>
    </row>
    <row r="497" spans="8:15" s="12" customFormat="1">
      <c r="H497" s="201"/>
      <c r="O497" s="205"/>
    </row>
    <row r="498" spans="8:15" s="12" customFormat="1">
      <c r="H498" s="201"/>
      <c r="O498" s="205"/>
    </row>
    <row r="499" spans="8:15" s="12" customFormat="1">
      <c r="H499" s="201"/>
      <c r="O499" s="205"/>
    </row>
    <row r="500" spans="8:15" s="12" customFormat="1">
      <c r="H500" s="201"/>
      <c r="O500" s="205"/>
    </row>
    <row r="501" spans="8:15" s="12" customFormat="1">
      <c r="H501" s="201"/>
      <c r="O501" s="205"/>
    </row>
    <row r="502" spans="8:15" s="12" customFormat="1">
      <c r="H502" s="201"/>
      <c r="O502" s="205"/>
    </row>
    <row r="503" spans="8:15" s="12" customFormat="1">
      <c r="H503" s="201"/>
      <c r="O503" s="205"/>
    </row>
    <row r="504" spans="8:15" s="12" customFormat="1">
      <c r="H504" s="201"/>
      <c r="O504" s="205"/>
    </row>
    <row r="505" spans="8:15" s="12" customFormat="1">
      <c r="H505" s="201"/>
      <c r="O505" s="205"/>
    </row>
    <row r="506" spans="8:15" s="12" customFormat="1">
      <c r="H506" s="201"/>
      <c r="O506" s="205"/>
    </row>
    <row r="507" spans="8:15" s="12" customFormat="1">
      <c r="H507" s="201"/>
      <c r="O507" s="205"/>
    </row>
    <row r="508" spans="8:15" s="12" customFormat="1">
      <c r="H508" s="201"/>
      <c r="O508" s="205"/>
    </row>
    <row r="509" spans="8:15" s="12" customFormat="1">
      <c r="H509" s="201"/>
      <c r="O509" s="205"/>
    </row>
    <row r="510" spans="8:15" s="12" customFormat="1">
      <c r="H510" s="201"/>
      <c r="O510" s="205"/>
    </row>
    <row r="511" spans="8:15" s="12" customFormat="1">
      <c r="H511" s="201"/>
      <c r="O511" s="205"/>
    </row>
    <row r="512" spans="8:15" s="12" customFormat="1">
      <c r="H512" s="201"/>
      <c r="O512" s="205"/>
    </row>
    <row r="513" spans="8:15" s="12" customFormat="1">
      <c r="H513" s="201"/>
      <c r="O513" s="205"/>
    </row>
    <row r="514" spans="8:15" s="12" customFormat="1">
      <c r="H514" s="201"/>
      <c r="O514" s="205"/>
    </row>
    <row r="515" spans="8:15" s="12" customFormat="1">
      <c r="H515" s="201"/>
      <c r="O515" s="205"/>
    </row>
    <row r="516" spans="8:15" s="12" customFormat="1">
      <c r="H516" s="201"/>
      <c r="O516" s="205"/>
    </row>
    <row r="517" spans="8:15" s="12" customFormat="1">
      <c r="H517" s="201"/>
      <c r="O517" s="205"/>
    </row>
    <row r="518" spans="8:15" s="12" customFormat="1">
      <c r="H518" s="201"/>
      <c r="O518" s="205"/>
    </row>
    <row r="519" spans="8:15" s="12" customFormat="1">
      <c r="H519" s="201"/>
      <c r="O519" s="205"/>
    </row>
    <row r="520" spans="8:15" s="12" customFormat="1">
      <c r="H520" s="201"/>
      <c r="O520" s="205"/>
    </row>
    <row r="521" spans="8:15" s="12" customFormat="1">
      <c r="H521" s="201"/>
      <c r="O521" s="205"/>
    </row>
    <row r="522" spans="8:15" s="12" customFormat="1">
      <c r="H522" s="201"/>
      <c r="O522" s="205"/>
    </row>
    <row r="523" spans="8:15" s="12" customFormat="1">
      <c r="H523" s="201"/>
      <c r="O523" s="205"/>
    </row>
    <row r="524" spans="8:15" s="12" customFormat="1">
      <c r="H524" s="201"/>
      <c r="O524" s="205"/>
    </row>
    <row r="525" spans="8:15" s="12" customFormat="1">
      <c r="H525" s="201"/>
      <c r="O525" s="205"/>
    </row>
    <row r="526" spans="8:15" s="12" customFormat="1">
      <c r="H526" s="201"/>
      <c r="O526" s="205"/>
    </row>
    <row r="527" spans="8:15" s="12" customFormat="1">
      <c r="H527" s="201"/>
      <c r="O527" s="205"/>
    </row>
    <row r="528" spans="8:15" s="12" customFormat="1">
      <c r="H528" s="201"/>
      <c r="O528" s="205"/>
    </row>
    <row r="529" spans="8:15" s="12" customFormat="1">
      <c r="H529" s="201"/>
      <c r="O529" s="205"/>
    </row>
    <row r="530" spans="8:15" s="12" customFormat="1">
      <c r="H530" s="201"/>
      <c r="O530" s="205"/>
    </row>
    <row r="531" spans="8:15" s="12" customFormat="1">
      <c r="H531" s="201"/>
      <c r="O531" s="205"/>
    </row>
    <row r="532" spans="8:15" s="12" customFormat="1">
      <c r="H532" s="201"/>
      <c r="O532" s="205"/>
    </row>
    <row r="533" spans="8:15" s="12" customFormat="1">
      <c r="H533" s="201"/>
      <c r="O533" s="205"/>
    </row>
    <row r="534" spans="8:15" s="12" customFormat="1">
      <c r="H534" s="201"/>
      <c r="O534" s="205"/>
    </row>
    <row r="535" spans="8:15" s="12" customFormat="1">
      <c r="H535" s="201"/>
      <c r="O535" s="205"/>
    </row>
    <row r="536" spans="8:15" s="12" customFormat="1">
      <c r="H536" s="201"/>
      <c r="O536" s="205"/>
    </row>
    <row r="537" spans="8:15" s="12" customFormat="1">
      <c r="H537" s="201"/>
      <c r="O537" s="205"/>
    </row>
    <row r="538" spans="8:15" s="12" customFormat="1">
      <c r="H538" s="201"/>
      <c r="O538" s="205"/>
    </row>
    <row r="539" spans="8:15" s="12" customFormat="1">
      <c r="H539" s="201"/>
      <c r="O539" s="205"/>
    </row>
    <row r="540" spans="8:15" s="12" customFormat="1">
      <c r="H540" s="201"/>
      <c r="O540" s="205"/>
    </row>
    <row r="541" spans="8:15" s="12" customFormat="1">
      <c r="H541" s="201"/>
      <c r="O541" s="205"/>
    </row>
    <row r="542" spans="8:15" s="12" customFormat="1">
      <c r="H542" s="201"/>
      <c r="O542" s="205"/>
    </row>
    <row r="543" spans="8:15" s="12" customFormat="1">
      <c r="H543" s="201"/>
      <c r="O543" s="205"/>
    </row>
    <row r="544" spans="8:15" s="12" customFormat="1">
      <c r="H544" s="201"/>
      <c r="O544" s="205"/>
    </row>
    <row r="545" spans="8:15" s="12" customFormat="1">
      <c r="H545" s="201"/>
      <c r="O545" s="205"/>
    </row>
    <row r="546" spans="8:15" s="12" customFormat="1">
      <c r="H546" s="201"/>
      <c r="O546" s="205"/>
    </row>
    <row r="547" spans="8:15" s="12" customFormat="1">
      <c r="H547" s="201"/>
      <c r="O547" s="205"/>
    </row>
    <row r="548" spans="8:15" s="12" customFormat="1">
      <c r="H548" s="201"/>
      <c r="O548" s="205"/>
    </row>
    <row r="549" spans="8:15" s="12" customFormat="1">
      <c r="H549" s="201"/>
      <c r="O549" s="205"/>
    </row>
    <row r="550" spans="8:15" s="12" customFormat="1">
      <c r="H550" s="201"/>
      <c r="O550" s="205"/>
    </row>
    <row r="551" spans="8:15" s="12" customFormat="1">
      <c r="H551" s="201"/>
      <c r="O551" s="205"/>
    </row>
    <row r="552" spans="8:15" s="12" customFormat="1">
      <c r="H552" s="201"/>
      <c r="O552" s="205"/>
    </row>
    <row r="553" spans="8:15" s="12" customFormat="1">
      <c r="H553" s="201"/>
      <c r="O553" s="205"/>
    </row>
    <row r="554" spans="8:15" s="12" customFormat="1">
      <c r="H554" s="201"/>
      <c r="O554" s="205"/>
    </row>
    <row r="555" spans="8:15" s="12" customFormat="1">
      <c r="H555" s="201"/>
      <c r="O555" s="205"/>
    </row>
    <row r="556" spans="8:15" s="12" customFormat="1">
      <c r="H556" s="201"/>
      <c r="O556" s="205"/>
    </row>
    <row r="557" spans="8:15" s="12" customFormat="1">
      <c r="H557" s="201"/>
      <c r="O557" s="205"/>
    </row>
    <row r="558" spans="8:15" s="12" customFormat="1">
      <c r="H558" s="201"/>
      <c r="O558" s="205"/>
    </row>
    <row r="559" spans="8:15" s="12" customFormat="1">
      <c r="H559" s="201"/>
      <c r="O559" s="205"/>
    </row>
    <row r="560" spans="8:15" s="12" customFormat="1">
      <c r="H560" s="201"/>
      <c r="O560" s="205"/>
    </row>
    <row r="561" spans="8:15" s="12" customFormat="1">
      <c r="H561" s="201"/>
      <c r="O561" s="205"/>
    </row>
    <row r="562" spans="8:15" s="12" customFormat="1">
      <c r="H562" s="201"/>
      <c r="O562" s="205"/>
    </row>
    <row r="563" spans="8:15" s="12" customFormat="1">
      <c r="H563" s="201"/>
      <c r="O563" s="205"/>
    </row>
    <row r="564" spans="8:15" s="12" customFormat="1">
      <c r="H564" s="201"/>
      <c r="O564" s="205"/>
    </row>
    <row r="565" spans="8:15" s="12" customFormat="1">
      <c r="H565" s="201"/>
      <c r="O565" s="205"/>
    </row>
    <row r="566" spans="8:15" s="12" customFormat="1">
      <c r="H566" s="201"/>
      <c r="O566" s="205"/>
    </row>
    <row r="567" spans="8:15" s="12" customFormat="1">
      <c r="H567" s="201"/>
      <c r="O567" s="205"/>
    </row>
    <row r="568" spans="8:15" s="12" customFormat="1">
      <c r="H568" s="201"/>
      <c r="O568" s="205"/>
    </row>
    <row r="569" spans="8:15" s="12" customFormat="1">
      <c r="H569" s="201"/>
      <c r="O569" s="205"/>
    </row>
    <row r="570" spans="8:15" s="12" customFormat="1">
      <c r="H570" s="201"/>
      <c r="O570" s="205"/>
    </row>
    <row r="571" spans="8:15" s="12" customFormat="1">
      <c r="H571" s="201"/>
      <c r="O571" s="205"/>
    </row>
    <row r="572" spans="8:15" s="12" customFormat="1">
      <c r="H572" s="201"/>
      <c r="O572" s="205"/>
    </row>
    <row r="573" spans="8:15" s="12" customFormat="1">
      <c r="H573" s="201"/>
      <c r="O573" s="205"/>
    </row>
    <row r="574" spans="8:15" s="12" customFormat="1">
      <c r="H574" s="201"/>
      <c r="O574" s="205"/>
    </row>
    <row r="575" spans="8:15" s="12" customFormat="1">
      <c r="H575" s="201"/>
      <c r="O575" s="205"/>
    </row>
    <row r="576" spans="8:15" s="12" customFormat="1">
      <c r="H576" s="201"/>
      <c r="O576" s="205"/>
    </row>
    <row r="577" spans="8:15" s="12" customFormat="1">
      <c r="H577" s="201"/>
      <c r="O577" s="205"/>
    </row>
    <row r="578" spans="8:15" s="12" customFormat="1">
      <c r="H578" s="201"/>
      <c r="O578" s="205"/>
    </row>
    <row r="579" spans="8:15" s="12" customFormat="1">
      <c r="H579" s="201"/>
      <c r="O579" s="205"/>
    </row>
    <row r="580" spans="8:15" s="12" customFormat="1">
      <c r="H580" s="201"/>
      <c r="O580" s="205"/>
    </row>
    <row r="581" spans="8:15" s="12" customFormat="1">
      <c r="H581" s="201"/>
      <c r="O581" s="205"/>
    </row>
    <row r="582" spans="8:15" s="12" customFormat="1">
      <c r="H582" s="201"/>
      <c r="O582" s="205"/>
    </row>
    <row r="583" spans="8:15" s="12" customFormat="1">
      <c r="H583" s="201"/>
      <c r="O583" s="205"/>
    </row>
    <row r="584" spans="8:15" s="12" customFormat="1">
      <c r="H584" s="201"/>
      <c r="O584" s="205"/>
    </row>
    <row r="585" spans="8:15" s="12" customFormat="1">
      <c r="H585" s="201"/>
      <c r="O585" s="205"/>
    </row>
    <row r="586" spans="8:15" s="12" customFormat="1">
      <c r="H586" s="201"/>
      <c r="O586" s="205"/>
    </row>
    <row r="587" spans="8:15" s="12" customFormat="1">
      <c r="H587" s="201"/>
      <c r="O587" s="205"/>
    </row>
    <row r="588" spans="8:15" s="12" customFormat="1">
      <c r="H588" s="201"/>
      <c r="O588" s="205"/>
    </row>
    <row r="589" spans="8:15" s="12" customFormat="1">
      <c r="H589" s="201"/>
      <c r="O589" s="205"/>
    </row>
    <row r="590" spans="8:15" s="12" customFormat="1">
      <c r="H590" s="201"/>
      <c r="O590" s="205"/>
    </row>
    <row r="591" spans="8:15" s="12" customFormat="1">
      <c r="H591" s="201"/>
      <c r="O591" s="205"/>
    </row>
    <row r="592" spans="8:15" s="12" customFormat="1">
      <c r="H592" s="201"/>
      <c r="O592" s="205"/>
    </row>
    <row r="593" spans="8:15" s="12" customFormat="1">
      <c r="H593" s="201"/>
      <c r="O593" s="205"/>
    </row>
    <row r="594" spans="8:15" s="12" customFormat="1">
      <c r="H594" s="201"/>
      <c r="O594" s="205"/>
    </row>
    <row r="595" spans="8:15" s="12" customFormat="1">
      <c r="H595" s="201"/>
      <c r="O595" s="205"/>
    </row>
    <row r="596" spans="8:15" s="12" customFormat="1">
      <c r="H596" s="201"/>
      <c r="O596" s="205"/>
    </row>
    <row r="597" spans="8:15" s="12" customFormat="1">
      <c r="H597" s="201"/>
      <c r="O597" s="205"/>
    </row>
    <row r="598" spans="8:15" s="12" customFormat="1">
      <c r="H598" s="201"/>
      <c r="O598" s="205"/>
    </row>
    <row r="599" spans="8:15" s="12" customFormat="1">
      <c r="H599" s="201"/>
      <c r="O599" s="205"/>
    </row>
    <row r="600" spans="8:15" s="12" customFormat="1">
      <c r="H600" s="201"/>
      <c r="O600" s="205"/>
    </row>
    <row r="601" spans="8:15" s="12" customFormat="1">
      <c r="H601" s="201"/>
      <c r="O601" s="205"/>
    </row>
    <row r="602" spans="8:15" s="12" customFormat="1">
      <c r="H602" s="201"/>
      <c r="O602" s="205"/>
    </row>
    <row r="603" spans="8:15" s="12" customFormat="1">
      <c r="H603" s="201"/>
      <c r="O603" s="205"/>
    </row>
    <row r="604" spans="8:15" s="12" customFormat="1">
      <c r="H604" s="201"/>
      <c r="O604" s="205"/>
    </row>
    <row r="605" spans="8:15" s="12" customFormat="1">
      <c r="H605" s="201"/>
      <c r="O605" s="205"/>
    </row>
    <row r="606" spans="8:15" s="12" customFormat="1">
      <c r="H606" s="201"/>
      <c r="O606" s="205"/>
    </row>
    <row r="607" spans="8:15" s="12" customFormat="1">
      <c r="H607" s="201"/>
      <c r="O607" s="205"/>
    </row>
    <row r="608" spans="8:15" s="12" customFormat="1">
      <c r="H608" s="201"/>
      <c r="O608" s="205"/>
    </row>
    <row r="609" spans="8:15" s="12" customFormat="1">
      <c r="H609" s="201"/>
      <c r="O609" s="205"/>
    </row>
    <row r="610" spans="8:15" s="12" customFormat="1">
      <c r="H610" s="201"/>
      <c r="O610" s="205"/>
    </row>
    <row r="611" spans="8:15" s="12" customFormat="1">
      <c r="H611" s="201"/>
      <c r="O611" s="205"/>
    </row>
    <row r="612" spans="8:15" s="12" customFormat="1">
      <c r="H612" s="201"/>
      <c r="O612" s="205"/>
    </row>
    <row r="613" spans="8:15" s="12" customFormat="1">
      <c r="H613" s="201"/>
      <c r="O613" s="205"/>
    </row>
    <row r="614" spans="8:15" s="12" customFormat="1">
      <c r="H614" s="201"/>
      <c r="O614" s="205"/>
    </row>
    <row r="615" spans="8:15" s="12" customFormat="1">
      <c r="H615" s="201"/>
      <c r="O615" s="205"/>
    </row>
    <row r="616" spans="8:15" s="12" customFormat="1">
      <c r="H616" s="201"/>
      <c r="O616" s="205"/>
    </row>
    <row r="617" spans="8:15" s="12" customFormat="1">
      <c r="H617" s="201"/>
      <c r="O617" s="205"/>
    </row>
    <row r="618" spans="8:15" s="12" customFormat="1">
      <c r="H618" s="201"/>
      <c r="O618" s="205"/>
    </row>
    <row r="619" spans="8:15" s="12" customFormat="1">
      <c r="H619" s="201"/>
      <c r="O619" s="205"/>
    </row>
    <row r="620" spans="8:15" s="12" customFormat="1">
      <c r="H620" s="201"/>
      <c r="O620" s="205"/>
    </row>
    <row r="621" spans="8:15" s="12" customFormat="1">
      <c r="H621" s="201"/>
      <c r="O621" s="205"/>
    </row>
    <row r="622" spans="8:15" s="12" customFormat="1">
      <c r="H622" s="201"/>
      <c r="O622" s="205"/>
    </row>
    <row r="623" spans="8:15" s="12" customFormat="1">
      <c r="H623" s="201"/>
      <c r="O623" s="205"/>
    </row>
    <row r="624" spans="8:15" s="12" customFormat="1">
      <c r="H624" s="201"/>
      <c r="O624" s="205"/>
    </row>
    <row r="625" spans="8:15" s="12" customFormat="1">
      <c r="H625" s="201"/>
      <c r="O625" s="205"/>
    </row>
    <row r="626" spans="8:15" s="12" customFormat="1">
      <c r="H626" s="201"/>
      <c r="O626" s="205"/>
    </row>
    <row r="627" spans="8:15" s="12" customFormat="1">
      <c r="H627" s="201"/>
      <c r="O627" s="205"/>
    </row>
    <row r="628" spans="8:15" s="12" customFormat="1">
      <c r="H628" s="201"/>
      <c r="O628" s="205"/>
    </row>
    <row r="629" spans="8:15" s="12" customFormat="1">
      <c r="H629" s="201"/>
      <c r="O629" s="205"/>
    </row>
    <row r="630" spans="8:15" s="12" customFormat="1">
      <c r="H630" s="201"/>
      <c r="O630" s="205"/>
    </row>
    <row r="631" spans="8:15" s="12" customFormat="1">
      <c r="H631" s="201"/>
      <c r="O631" s="205"/>
    </row>
    <row r="632" spans="8:15" s="12" customFormat="1">
      <c r="H632" s="201"/>
      <c r="O632" s="205"/>
    </row>
    <row r="633" spans="8:15" s="12" customFormat="1">
      <c r="H633" s="201"/>
      <c r="O633" s="205"/>
    </row>
    <row r="634" spans="8:15" s="12" customFormat="1">
      <c r="H634" s="201"/>
      <c r="O634" s="205"/>
    </row>
    <row r="635" spans="8:15" s="12" customFormat="1">
      <c r="H635" s="201"/>
      <c r="O635" s="205"/>
    </row>
    <row r="636" spans="8:15" s="12" customFormat="1">
      <c r="H636" s="201"/>
      <c r="O636" s="205"/>
    </row>
    <row r="637" spans="8:15" s="12" customFormat="1">
      <c r="H637" s="201"/>
      <c r="O637" s="205"/>
    </row>
    <row r="638" spans="8:15" s="12" customFormat="1">
      <c r="H638" s="201"/>
      <c r="O638" s="205"/>
    </row>
    <row r="639" spans="8:15" s="12" customFormat="1">
      <c r="H639" s="201"/>
      <c r="O639" s="205"/>
    </row>
    <row r="640" spans="8:15" s="12" customFormat="1">
      <c r="H640" s="201"/>
      <c r="O640" s="205"/>
    </row>
    <row r="641" spans="8:15" s="12" customFormat="1">
      <c r="H641" s="201"/>
      <c r="O641" s="205"/>
    </row>
    <row r="642" spans="8:15" s="12" customFormat="1">
      <c r="H642" s="201"/>
      <c r="O642" s="205"/>
    </row>
    <row r="643" spans="8:15" s="12" customFormat="1">
      <c r="H643" s="201"/>
      <c r="O643" s="205"/>
    </row>
    <row r="644" spans="8:15" s="12" customFormat="1">
      <c r="H644" s="201"/>
      <c r="O644" s="205"/>
    </row>
    <row r="645" spans="8:15" s="12" customFormat="1">
      <c r="H645" s="201"/>
      <c r="O645" s="205"/>
    </row>
    <row r="646" spans="8:15" s="12" customFormat="1">
      <c r="H646" s="201"/>
      <c r="O646" s="205"/>
    </row>
    <row r="647" spans="8:15" s="12" customFormat="1">
      <c r="H647" s="201"/>
      <c r="O647" s="205"/>
    </row>
    <row r="648" spans="8:15" s="12" customFormat="1">
      <c r="H648" s="201"/>
      <c r="O648" s="205"/>
    </row>
    <row r="649" spans="8:15" s="12" customFormat="1">
      <c r="H649" s="201"/>
      <c r="O649" s="205"/>
    </row>
    <row r="650" spans="8:15" s="12" customFormat="1">
      <c r="H650" s="201"/>
      <c r="O650" s="205"/>
    </row>
    <row r="651" spans="8:15" s="12" customFormat="1">
      <c r="H651" s="201"/>
      <c r="O651" s="205"/>
    </row>
    <row r="652" spans="8:15" s="12" customFormat="1">
      <c r="H652" s="201"/>
      <c r="O652" s="205"/>
    </row>
    <row r="653" spans="8:15" s="12" customFormat="1">
      <c r="H653" s="201"/>
      <c r="O653" s="205"/>
    </row>
    <row r="654" spans="8:15" s="12" customFormat="1">
      <c r="H654" s="201"/>
      <c r="O654" s="205"/>
    </row>
    <row r="655" spans="8:15" s="12" customFormat="1">
      <c r="H655" s="201"/>
      <c r="O655" s="205"/>
    </row>
    <row r="656" spans="8:15" s="12" customFormat="1">
      <c r="H656" s="201"/>
      <c r="O656" s="205"/>
    </row>
    <row r="657" spans="8:15" s="12" customFormat="1">
      <c r="H657" s="201"/>
      <c r="O657" s="205"/>
    </row>
    <row r="658" spans="8:15" s="12" customFormat="1">
      <c r="H658" s="201"/>
      <c r="O658" s="205"/>
    </row>
    <row r="659" spans="8:15" s="12" customFormat="1">
      <c r="H659" s="201"/>
      <c r="O659" s="205"/>
    </row>
    <row r="660" spans="8:15" s="12" customFormat="1">
      <c r="H660" s="201"/>
      <c r="O660" s="205"/>
    </row>
    <row r="661" spans="8:15" s="12" customFormat="1">
      <c r="H661" s="201"/>
      <c r="O661" s="205"/>
    </row>
    <row r="662" spans="8:15" s="12" customFormat="1">
      <c r="H662" s="201"/>
      <c r="O662" s="205"/>
    </row>
    <row r="663" spans="8:15" s="12" customFormat="1">
      <c r="H663" s="201"/>
      <c r="O663" s="205"/>
    </row>
    <row r="664" spans="8:15" s="12" customFormat="1">
      <c r="H664" s="201"/>
      <c r="O664" s="205"/>
    </row>
    <row r="665" spans="8:15" s="12" customFormat="1">
      <c r="H665" s="201"/>
      <c r="O665" s="205"/>
    </row>
    <row r="666" spans="8:15" s="12" customFormat="1">
      <c r="H666" s="201"/>
      <c r="O666" s="205"/>
    </row>
    <row r="667" spans="8:15" s="12" customFormat="1">
      <c r="H667" s="201"/>
      <c r="O667" s="205"/>
    </row>
    <row r="668" spans="8:15" s="12" customFormat="1">
      <c r="H668" s="201"/>
      <c r="O668" s="205"/>
    </row>
    <row r="669" spans="8:15" s="12" customFormat="1">
      <c r="H669" s="201"/>
      <c r="O669" s="205"/>
    </row>
    <row r="670" spans="8:15" s="12" customFormat="1">
      <c r="H670" s="201"/>
      <c r="O670" s="205"/>
    </row>
    <row r="671" spans="8:15" s="12" customFormat="1">
      <c r="H671" s="201"/>
      <c r="O671" s="205"/>
    </row>
    <row r="672" spans="8:15" s="12" customFormat="1">
      <c r="H672" s="201"/>
      <c r="O672" s="205"/>
    </row>
    <row r="673" spans="8:15" s="12" customFormat="1">
      <c r="H673" s="201"/>
      <c r="O673" s="205"/>
    </row>
    <row r="674" spans="8:15" s="12" customFormat="1">
      <c r="H674" s="201"/>
      <c r="O674" s="205"/>
    </row>
    <row r="675" spans="8:15" s="12" customFormat="1">
      <c r="H675" s="201"/>
      <c r="O675" s="205"/>
    </row>
    <row r="676" spans="8:15" s="12" customFormat="1">
      <c r="H676" s="201"/>
      <c r="O676" s="205"/>
    </row>
    <row r="677" spans="8:15" s="12" customFormat="1">
      <c r="H677" s="201"/>
      <c r="O677" s="205"/>
    </row>
    <row r="678" spans="8:15" s="12" customFormat="1">
      <c r="H678" s="201"/>
      <c r="O678" s="205"/>
    </row>
    <row r="679" spans="8:15" s="12" customFormat="1">
      <c r="H679" s="201"/>
      <c r="O679" s="205"/>
    </row>
    <row r="680" spans="8:15" s="12" customFormat="1">
      <c r="H680" s="201"/>
      <c r="O680" s="205"/>
    </row>
    <row r="681" spans="8:15" s="12" customFormat="1">
      <c r="H681" s="201"/>
      <c r="O681" s="205"/>
    </row>
    <row r="682" spans="8:15" s="12" customFormat="1">
      <c r="H682" s="201"/>
      <c r="O682" s="205"/>
    </row>
    <row r="683" spans="8:15" s="12" customFormat="1">
      <c r="H683" s="201"/>
      <c r="O683" s="205"/>
    </row>
    <row r="684" spans="8:15" s="12" customFormat="1">
      <c r="H684" s="201"/>
      <c r="O684" s="205"/>
    </row>
    <row r="685" spans="8:15" s="12" customFormat="1">
      <c r="H685" s="201"/>
      <c r="O685" s="205"/>
    </row>
    <row r="686" spans="8:15" s="12" customFormat="1">
      <c r="H686" s="201"/>
      <c r="O686" s="205"/>
    </row>
    <row r="687" spans="8:15" s="12" customFormat="1">
      <c r="H687" s="201"/>
      <c r="O687" s="205"/>
    </row>
    <row r="688" spans="8:15" s="12" customFormat="1">
      <c r="H688" s="201"/>
      <c r="O688" s="205"/>
    </row>
    <row r="689" spans="8:15" s="12" customFormat="1">
      <c r="H689" s="201"/>
      <c r="O689" s="205"/>
    </row>
    <row r="690" spans="8:15" s="12" customFormat="1">
      <c r="H690" s="201"/>
      <c r="O690" s="205"/>
    </row>
    <row r="691" spans="8:15" s="12" customFormat="1">
      <c r="H691" s="201"/>
      <c r="O691" s="205"/>
    </row>
    <row r="692" spans="8:15" s="12" customFormat="1">
      <c r="H692" s="201"/>
      <c r="O692" s="205"/>
    </row>
    <row r="693" spans="8:15" s="12" customFormat="1">
      <c r="H693" s="201"/>
      <c r="O693" s="205"/>
    </row>
    <row r="694" spans="8:15" s="12" customFormat="1">
      <c r="H694" s="201"/>
      <c r="O694" s="205"/>
    </row>
    <row r="695" spans="8:15" s="12" customFormat="1">
      <c r="H695" s="201"/>
      <c r="O695" s="205"/>
    </row>
    <row r="696" spans="8:15" s="12" customFormat="1">
      <c r="H696" s="201"/>
      <c r="O696" s="205"/>
    </row>
    <row r="697" spans="8:15" s="12" customFormat="1">
      <c r="H697" s="201"/>
      <c r="O697" s="205"/>
    </row>
    <row r="698" spans="8:15" s="12" customFormat="1">
      <c r="H698" s="201"/>
      <c r="O698" s="205"/>
    </row>
    <row r="699" spans="8:15" s="12" customFormat="1">
      <c r="H699" s="201"/>
      <c r="O699" s="205"/>
    </row>
    <row r="700" spans="8:15" s="12" customFormat="1">
      <c r="H700" s="201"/>
      <c r="O700" s="205"/>
    </row>
    <row r="701" spans="8:15" s="12" customFormat="1">
      <c r="H701" s="201"/>
      <c r="O701" s="205"/>
    </row>
    <row r="702" spans="8:15" s="12" customFormat="1">
      <c r="H702" s="201"/>
      <c r="O702" s="205"/>
    </row>
    <row r="703" spans="8:15" s="12" customFormat="1">
      <c r="H703" s="201"/>
      <c r="O703" s="205"/>
    </row>
    <row r="704" spans="8:15" s="12" customFormat="1">
      <c r="H704" s="201"/>
      <c r="O704" s="205"/>
    </row>
    <row r="705" spans="8:15" s="12" customFormat="1">
      <c r="H705" s="201"/>
      <c r="O705" s="205"/>
    </row>
    <row r="706" spans="8:15" s="12" customFormat="1">
      <c r="H706" s="201"/>
      <c r="O706" s="205"/>
    </row>
    <row r="707" spans="8:15" s="12" customFormat="1">
      <c r="H707" s="201"/>
      <c r="O707" s="205"/>
    </row>
    <row r="708" spans="8:15" s="12" customFormat="1">
      <c r="H708" s="201"/>
      <c r="O708" s="205"/>
    </row>
    <row r="709" spans="8:15" s="12" customFormat="1">
      <c r="H709" s="201"/>
      <c r="O709" s="205"/>
    </row>
    <row r="710" spans="8:15" s="12" customFormat="1">
      <c r="H710" s="201"/>
      <c r="O710" s="205"/>
    </row>
    <row r="711" spans="8:15" s="12" customFormat="1">
      <c r="H711" s="201"/>
      <c r="O711" s="205"/>
    </row>
    <row r="712" spans="8:15" s="12" customFormat="1">
      <c r="H712" s="201"/>
      <c r="O712" s="205"/>
    </row>
    <row r="713" spans="8:15" s="12" customFormat="1">
      <c r="H713" s="201"/>
      <c r="O713" s="205"/>
    </row>
    <row r="714" spans="8:15" s="12" customFormat="1">
      <c r="H714" s="201"/>
      <c r="O714" s="205"/>
    </row>
    <row r="715" spans="8:15" s="12" customFormat="1">
      <c r="H715" s="201"/>
      <c r="O715" s="205"/>
    </row>
    <row r="716" spans="8:15" s="12" customFormat="1">
      <c r="H716" s="201"/>
      <c r="O716" s="205"/>
    </row>
    <row r="717" spans="8:15" s="12" customFormat="1">
      <c r="H717" s="201"/>
      <c r="O717" s="205"/>
    </row>
    <row r="718" spans="8:15" s="12" customFormat="1">
      <c r="H718" s="201"/>
      <c r="O718" s="205"/>
    </row>
    <row r="719" spans="8:15" s="12" customFormat="1">
      <c r="H719" s="201"/>
      <c r="O719" s="205"/>
    </row>
    <row r="720" spans="8:15" s="12" customFormat="1">
      <c r="H720" s="201"/>
      <c r="O720" s="205"/>
    </row>
    <row r="721" spans="8:15" s="12" customFormat="1">
      <c r="H721" s="201"/>
      <c r="O721" s="205"/>
    </row>
    <row r="722" spans="8:15" s="12" customFormat="1">
      <c r="H722" s="201"/>
      <c r="O722" s="205"/>
    </row>
    <row r="723" spans="8:15" s="12" customFormat="1">
      <c r="H723" s="201"/>
      <c r="O723" s="205"/>
    </row>
    <row r="724" spans="8:15" s="12" customFormat="1">
      <c r="H724" s="201"/>
      <c r="O724" s="205"/>
    </row>
    <row r="725" spans="8:15" s="12" customFormat="1">
      <c r="H725" s="201"/>
      <c r="O725" s="205"/>
    </row>
    <row r="726" spans="8:15" s="12" customFormat="1">
      <c r="H726" s="201"/>
      <c r="O726" s="205"/>
    </row>
    <row r="727" spans="8:15" s="12" customFormat="1">
      <c r="H727" s="201"/>
      <c r="O727" s="205"/>
    </row>
    <row r="728" spans="8:15" s="12" customFormat="1">
      <c r="H728" s="201"/>
      <c r="O728" s="205"/>
    </row>
    <row r="729" spans="8:15" s="12" customFormat="1">
      <c r="H729" s="201"/>
      <c r="O729" s="205"/>
    </row>
    <row r="730" spans="8:15" s="12" customFormat="1">
      <c r="H730" s="201"/>
      <c r="O730" s="205"/>
    </row>
    <row r="731" spans="8:15" s="12" customFormat="1">
      <c r="H731" s="201"/>
      <c r="O731" s="205"/>
    </row>
    <row r="732" spans="8:15" s="12" customFormat="1">
      <c r="H732" s="201"/>
      <c r="O732" s="205"/>
    </row>
    <row r="733" spans="8:15" s="12" customFormat="1">
      <c r="H733" s="201"/>
      <c r="O733" s="205"/>
    </row>
    <row r="734" spans="8:15" s="12" customFormat="1">
      <c r="H734" s="201"/>
      <c r="O734" s="205"/>
    </row>
    <row r="735" spans="8:15" s="12" customFormat="1">
      <c r="H735" s="201"/>
      <c r="O735" s="205"/>
    </row>
    <row r="736" spans="8:15" s="12" customFormat="1">
      <c r="H736" s="201"/>
      <c r="O736" s="205"/>
    </row>
    <row r="737" spans="8:15" s="12" customFormat="1">
      <c r="H737" s="201"/>
      <c r="O737" s="205"/>
    </row>
    <row r="738" spans="8:15" s="12" customFormat="1">
      <c r="H738" s="201"/>
      <c r="O738" s="205"/>
    </row>
    <row r="739" spans="8:15" s="12" customFormat="1">
      <c r="H739" s="201"/>
      <c r="O739" s="205"/>
    </row>
    <row r="740" spans="8:15" s="12" customFormat="1">
      <c r="H740" s="201"/>
      <c r="O740" s="205"/>
    </row>
    <row r="741" spans="8:15" s="12" customFormat="1">
      <c r="H741" s="201"/>
      <c r="O741" s="205"/>
    </row>
    <row r="742" spans="8:15" s="12" customFormat="1">
      <c r="H742" s="201"/>
      <c r="O742" s="205"/>
    </row>
    <row r="743" spans="8:15" s="12" customFormat="1">
      <c r="H743" s="201"/>
      <c r="O743" s="205"/>
    </row>
    <row r="744" spans="8:15" s="12" customFormat="1">
      <c r="H744" s="201"/>
      <c r="O744" s="205"/>
    </row>
    <row r="745" spans="8:15" s="12" customFormat="1">
      <c r="H745" s="201"/>
      <c r="O745" s="205"/>
    </row>
    <row r="746" spans="8:15" s="12" customFormat="1">
      <c r="H746" s="201"/>
      <c r="O746" s="205"/>
    </row>
    <row r="747" spans="8:15" s="12" customFormat="1">
      <c r="H747" s="201"/>
      <c r="O747" s="205"/>
    </row>
    <row r="748" spans="8:15" s="12" customFormat="1">
      <c r="H748" s="201"/>
      <c r="O748" s="205"/>
    </row>
    <row r="749" spans="8:15" s="12" customFormat="1">
      <c r="H749" s="201"/>
      <c r="O749" s="205"/>
    </row>
    <row r="750" spans="8:15" s="12" customFormat="1">
      <c r="H750" s="201"/>
      <c r="O750" s="205"/>
    </row>
    <row r="751" spans="8:15" s="12" customFormat="1">
      <c r="H751" s="201"/>
      <c r="O751" s="205"/>
    </row>
    <row r="752" spans="8:15" s="12" customFormat="1">
      <c r="H752" s="201"/>
      <c r="O752" s="205"/>
    </row>
    <row r="753" spans="8:15" s="12" customFormat="1">
      <c r="H753" s="201"/>
      <c r="O753" s="205"/>
    </row>
    <row r="754" spans="8:15" s="12" customFormat="1">
      <c r="H754" s="201"/>
      <c r="O754" s="205"/>
    </row>
    <row r="755" spans="8:15" s="12" customFormat="1">
      <c r="H755" s="201"/>
      <c r="O755" s="205"/>
    </row>
    <row r="756" spans="8:15" s="12" customFormat="1">
      <c r="H756" s="201"/>
      <c r="O756" s="205"/>
    </row>
    <row r="757" spans="8:15" s="12" customFormat="1">
      <c r="H757" s="201"/>
      <c r="O757" s="205"/>
    </row>
    <row r="758" spans="8:15" s="12" customFormat="1">
      <c r="H758" s="201"/>
      <c r="O758" s="205"/>
    </row>
    <row r="759" spans="8:15" s="12" customFormat="1">
      <c r="H759" s="201"/>
      <c r="O759" s="205"/>
    </row>
    <row r="760" spans="8:15" s="12" customFormat="1">
      <c r="H760" s="201"/>
      <c r="O760" s="205"/>
    </row>
    <row r="761" spans="8:15" s="12" customFormat="1">
      <c r="H761" s="201"/>
      <c r="O761" s="205"/>
    </row>
    <row r="762" spans="8:15" s="12" customFormat="1">
      <c r="H762" s="201"/>
      <c r="O762" s="205"/>
    </row>
    <row r="763" spans="8:15" s="12" customFormat="1">
      <c r="H763" s="201"/>
      <c r="O763" s="205"/>
    </row>
    <row r="764" spans="8:15" s="12" customFormat="1">
      <c r="H764" s="201"/>
      <c r="O764" s="205"/>
    </row>
    <row r="765" spans="8:15" s="12" customFormat="1">
      <c r="H765" s="201"/>
      <c r="O765" s="205"/>
    </row>
    <row r="766" spans="8:15" s="12" customFormat="1">
      <c r="H766" s="201"/>
      <c r="O766" s="205"/>
    </row>
    <row r="767" spans="8:15" s="12" customFormat="1">
      <c r="H767" s="201"/>
      <c r="O767" s="205"/>
    </row>
    <row r="768" spans="8:15" s="12" customFormat="1">
      <c r="H768" s="201"/>
      <c r="O768" s="205"/>
    </row>
    <row r="769" spans="8:15" s="12" customFormat="1">
      <c r="H769" s="201"/>
      <c r="O769" s="205"/>
    </row>
    <row r="770" spans="8:15" s="12" customFormat="1">
      <c r="H770" s="201"/>
      <c r="O770" s="205"/>
    </row>
    <row r="771" spans="8:15" s="12" customFormat="1">
      <c r="H771" s="201"/>
      <c r="O771" s="205"/>
    </row>
    <row r="772" spans="8:15" s="12" customFormat="1">
      <c r="H772" s="201"/>
      <c r="O772" s="205"/>
    </row>
    <row r="773" spans="8:15" s="12" customFormat="1">
      <c r="H773" s="201"/>
      <c r="O773" s="205"/>
    </row>
    <row r="774" spans="8:15" s="12" customFormat="1">
      <c r="H774" s="201"/>
      <c r="O774" s="205"/>
    </row>
    <row r="775" spans="8:15" s="12" customFormat="1">
      <c r="H775" s="201"/>
      <c r="O775" s="205"/>
    </row>
    <row r="776" spans="8:15" s="12" customFormat="1">
      <c r="H776" s="201"/>
      <c r="O776" s="205"/>
    </row>
    <row r="777" spans="8:15" s="12" customFormat="1">
      <c r="H777" s="201"/>
      <c r="O777" s="205"/>
    </row>
    <row r="778" spans="8:15" s="12" customFormat="1">
      <c r="H778" s="201"/>
      <c r="O778" s="205"/>
    </row>
    <row r="779" spans="8:15" s="12" customFormat="1">
      <c r="H779" s="201"/>
      <c r="O779" s="205"/>
    </row>
    <row r="780" spans="8:15" s="12" customFormat="1">
      <c r="H780" s="201"/>
      <c r="O780" s="205"/>
    </row>
    <row r="781" spans="8:15" s="12" customFormat="1">
      <c r="H781" s="201"/>
      <c r="O781" s="205"/>
    </row>
    <row r="782" spans="8:15" s="12" customFormat="1">
      <c r="H782" s="201"/>
      <c r="O782" s="205"/>
    </row>
    <row r="783" spans="8:15" s="12" customFormat="1">
      <c r="H783" s="201"/>
      <c r="O783" s="205"/>
    </row>
    <row r="784" spans="8:15" s="12" customFormat="1">
      <c r="H784" s="201"/>
      <c r="O784" s="205"/>
    </row>
    <row r="785" spans="8:15" s="12" customFormat="1">
      <c r="H785" s="201"/>
      <c r="O785" s="205"/>
    </row>
    <row r="786" spans="8:15" s="12" customFormat="1">
      <c r="H786" s="201"/>
      <c r="O786" s="205"/>
    </row>
    <row r="787" spans="8:15" s="12" customFormat="1">
      <c r="H787" s="201"/>
      <c r="O787" s="205"/>
    </row>
    <row r="788" spans="8:15" s="12" customFormat="1">
      <c r="H788" s="201"/>
      <c r="O788" s="205"/>
    </row>
    <row r="789" spans="8:15" s="12" customFormat="1">
      <c r="H789" s="201"/>
      <c r="O789" s="205"/>
    </row>
    <row r="790" spans="8:15" s="12" customFormat="1">
      <c r="H790" s="201"/>
      <c r="O790" s="205"/>
    </row>
    <row r="791" spans="8:15" s="12" customFormat="1">
      <c r="H791" s="201"/>
      <c r="O791" s="205"/>
    </row>
    <row r="792" spans="8:15" s="12" customFormat="1">
      <c r="H792" s="201"/>
      <c r="O792" s="205"/>
    </row>
    <row r="793" spans="8:15" s="12" customFormat="1">
      <c r="H793" s="201"/>
      <c r="O793" s="205"/>
    </row>
    <row r="794" spans="8:15" s="12" customFormat="1">
      <c r="H794" s="201"/>
      <c r="O794" s="205"/>
    </row>
    <row r="795" spans="8:15" s="12" customFormat="1">
      <c r="H795" s="201"/>
      <c r="O795" s="205"/>
    </row>
    <row r="796" spans="8:15" s="12" customFormat="1">
      <c r="H796" s="201"/>
      <c r="O796" s="205"/>
    </row>
    <row r="797" spans="8:15" s="12" customFormat="1">
      <c r="H797" s="201"/>
      <c r="O797" s="205"/>
    </row>
    <row r="798" spans="8:15" s="12" customFormat="1">
      <c r="H798" s="201"/>
      <c r="O798" s="205"/>
    </row>
    <row r="799" spans="8:15" s="12" customFormat="1">
      <c r="H799" s="201"/>
      <c r="O799" s="205"/>
    </row>
    <row r="800" spans="8:15" s="12" customFormat="1">
      <c r="H800" s="201"/>
      <c r="O800" s="205"/>
    </row>
    <row r="801" spans="8:15" s="12" customFormat="1">
      <c r="H801" s="201"/>
      <c r="O801" s="205"/>
    </row>
    <row r="802" spans="8:15" s="12" customFormat="1">
      <c r="H802" s="201"/>
      <c r="O802" s="205"/>
    </row>
    <row r="803" spans="8:15" s="12" customFormat="1">
      <c r="H803" s="201"/>
      <c r="O803" s="205"/>
    </row>
    <row r="804" spans="8:15" s="12" customFormat="1">
      <c r="H804" s="201"/>
      <c r="O804" s="205"/>
    </row>
    <row r="805" spans="8:15" s="12" customFormat="1">
      <c r="H805" s="201"/>
      <c r="O805" s="205"/>
    </row>
    <row r="806" spans="8:15" s="12" customFormat="1">
      <c r="H806" s="201"/>
      <c r="O806" s="205"/>
    </row>
    <row r="807" spans="8:15" s="12" customFormat="1">
      <c r="H807" s="201"/>
      <c r="O807" s="205"/>
    </row>
    <row r="808" spans="8:15" s="12" customFormat="1">
      <c r="H808" s="201"/>
      <c r="O808" s="205"/>
    </row>
    <row r="809" spans="8:15" s="12" customFormat="1">
      <c r="H809" s="201"/>
      <c r="O809" s="205"/>
    </row>
    <row r="810" spans="8:15" s="12" customFormat="1">
      <c r="H810" s="201"/>
      <c r="O810" s="205"/>
    </row>
    <row r="811" spans="8:15" s="12" customFormat="1">
      <c r="H811" s="201"/>
      <c r="O811" s="205"/>
    </row>
    <row r="812" spans="8:15" s="12" customFormat="1">
      <c r="H812" s="201"/>
      <c r="O812" s="205"/>
    </row>
    <row r="813" spans="8:15" s="12" customFormat="1">
      <c r="H813" s="201"/>
      <c r="O813" s="205"/>
    </row>
    <row r="814" spans="8:15" s="12" customFormat="1">
      <c r="H814" s="201"/>
      <c r="O814" s="205"/>
    </row>
    <row r="815" spans="8:15" s="12" customFormat="1">
      <c r="H815" s="201"/>
      <c r="O815" s="205"/>
    </row>
    <row r="816" spans="8:15" s="12" customFormat="1">
      <c r="H816" s="201"/>
      <c r="O816" s="205"/>
    </row>
    <row r="817" spans="8:15" s="12" customFormat="1">
      <c r="H817" s="201"/>
      <c r="O817" s="205"/>
    </row>
    <row r="818" spans="8:15" s="12" customFormat="1">
      <c r="H818" s="201"/>
      <c r="O818" s="205"/>
    </row>
    <row r="819" spans="8:15" s="12" customFormat="1">
      <c r="H819" s="201"/>
      <c r="O819" s="205"/>
    </row>
    <row r="820" spans="8:15" s="12" customFormat="1">
      <c r="H820" s="201"/>
      <c r="O820" s="205"/>
    </row>
    <row r="821" spans="8:15" s="12" customFormat="1">
      <c r="H821" s="201"/>
      <c r="O821" s="205"/>
    </row>
    <row r="822" spans="8:15" s="12" customFormat="1">
      <c r="H822" s="201"/>
      <c r="O822" s="205"/>
    </row>
    <row r="823" spans="8:15" s="12" customFormat="1">
      <c r="H823" s="201"/>
      <c r="O823" s="205"/>
    </row>
    <row r="824" spans="8:15" s="12" customFormat="1">
      <c r="H824" s="201"/>
      <c r="O824" s="205"/>
    </row>
    <row r="825" spans="8:15" s="12" customFormat="1">
      <c r="H825" s="201"/>
      <c r="O825" s="205"/>
    </row>
    <row r="826" spans="8:15" s="12" customFormat="1">
      <c r="H826" s="201"/>
      <c r="O826" s="205"/>
    </row>
    <row r="827" spans="8:15" s="12" customFormat="1">
      <c r="H827" s="201"/>
      <c r="O827" s="205"/>
    </row>
    <row r="828" spans="8:15" s="12" customFormat="1">
      <c r="H828" s="201"/>
      <c r="O828" s="205"/>
    </row>
    <row r="829" spans="8:15" s="12" customFormat="1">
      <c r="H829" s="201"/>
      <c r="O829" s="205"/>
    </row>
    <row r="830" spans="8:15" s="12" customFormat="1">
      <c r="H830" s="201"/>
      <c r="O830" s="205"/>
    </row>
    <row r="831" spans="8:15" s="12" customFormat="1">
      <c r="H831" s="201"/>
      <c r="O831" s="205"/>
    </row>
    <row r="832" spans="8:15" s="12" customFormat="1">
      <c r="H832" s="201"/>
      <c r="O832" s="205"/>
    </row>
    <row r="833" spans="8:15" s="12" customFormat="1">
      <c r="H833" s="201"/>
      <c r="O833" s="205"/>
    </row>
    <row r="834" spans="8:15" s="12" customFormat="1">
      <c r="H834" s="201"/>
      <c r="O834" s="205"/>
    </row>
    <row r="835" spans="8:15" s="12" customFormat="1">
      <c r="H835" s="201"/>
      <c r="O835" s="205"/>
    </row>
    <row r="836" spans="8:15" s="12" customFormat="1">
      <c r="H836" s="201"/>
      <c r="O836" s="205"/>
    </row>
    <row r="837" spans="8:15" s="12" customFormat="1">
      <c r="H837" s="201"/>
      <c r="O837" s="205"/>
    </row>
    <row r="838" spans="8:15" s="12" customFormat="1">
      <c r="H838" s="201"/>
      <c r="O838" s="205"/>
    </row>
    <row r="839" spans="8:15" s="12" customFormat="1">
      <c r="H839" s="201"/>
      <c r="O839" s="205"/>
    </row>
    <row r="840" spans="8:15" s="12" customFormat="1">
      <c r="H840" s="201"/>
      <c r="O840" s="205"/>
    </row>
    <row r="841" spans="8:15" s="12" customFormat="1">
      <c r="H841" s="201"/>
      <c r="O841" s="205"/>
    </row>
    <row r="842" spans="8:15" s="12" customFormat="1">
      <c r="H842" s="201"/>
      <c r="O842" s="205"/>
    </row>
    <row r="843" spans="8:15" s="12" customFormat="1">
      <c r="H843" s="201"/>
      <c r="O843" s="205"/>
    </row>
    <row r="844" spans="8:15" s="12" customFormat="1">
      <c r="H844" s="201"/>
      <c r="O844" s="205"/>
    </row>
    <row r="845" spans="8:15" s="12" customFormat="1">
      <c r="H845" s="201"/>
      <c r="O845" s="205"/>
    </row>
    <row r="846" spans="8:15" s="12" customFormat="1">
      <c r="H846" s="201"/>
      <c r="O846" s="205"/>
    </row>
    <row r="847" spans="8:15" s="12" customFormat="1">
      <c r="H847" s="201"/>
      <c r="O847" s="205"/>
    </row>
    <row r="848" spans="8:15" s="12" customFormat="1">
      <c r="H848" s="201"/>
      <c r="O848" s="205"/>
    </row>
    <row r="849" spans="8:15" s="12" customFormat="1">
      <c r="H849" s="201"/>
      <c r="O849" s="205"/>
    </row>
    <row r="850" spans="8:15" s="12" customFormat="1">
      <c r="H850" s="201"/>
      <c r="O850" s="205"/>
    </row>
    <row r="851" spans="8:15" s="12" customFormat="1">
      <c r="H851" s="201"/>
      <c r="O851" s="205"/>
    </row>
    <row r="852" spans="8:15" s="12" customFormat="1">
      <c r="H852" s="201"/>
      <c r="O852" s="205"/>
    </row>
    <row r="853" spans="8:15" s="12" customFormat="1">
      <c r="H853" s="201"/>
      <c r="O853" s="205"/>
    </row>
    <row r="854" spans="8:15" s="12" customFormat="1">
      <c r="H854" s="201"/>
      <c r="O854" s="205"/>
    </row>
    <row r="855" spans="8:15" s="12" customFormat="1">
      <c r="H855" s="201"/>
      <c r="O855" s="205"/>
    </row>
    <row r="856" spans="8:15" s="12" customFormat="1">
      <c r="H856" s="201"/>
      <c r="O856" s="205"/>
    </row>
    <row r="857" spans="8:15" s="12" customFormat="1">
      <c r="H857" s="201"/>
      <c r="O857" s="205"/>
    </row>
    <row r="858" spans="8:15" s="12" customFormat="1">
      <c r="H858" s="201"/>
      <c r="O858" s="205"/>
    </row>
    <row r="859" spans="8:15" s="12" customFormat="1">
      <c r="H859" s="201"/>
      <c r="O859" s="205"/>
    </row>
    <row r="860" spans="8:15" s="12" customFormat="1">
      <c r="H860" s="201"/>
      <c r="O860" s="205"/>
    </row>
    <row r="861" spans="8:15" s="12" customFormat="1">
      <c r="H861" s="201"/>
      <c r="O861" s="205"/>
    </row>
    <row r="862" spans="8:15" s="12" customFormat="1">
      <c r="H862" s="201"/>
      <c r="O862" s="205"/>
    </row>
    <row r="863" spans="8:15" s="12" customFormat="1">
      <c r="H863" s="201"/>
      <c r="O863" s="205"/>
    </row>
    <row r="864" spans="8:15" s="12" customFormat="1">
      <c r="H864" s="201"/>
      <c r="O864" s="205"/>
    </row>
    <row r="865" spans="8:15" s="12" customFormat="1">
      <c r="H865" s="201"/>
      <c r="O865" s="205"/>
    </row>
    <row r="866" spans="8:15" s="12" customFormat="1">
      <c r="H866" s="201"/>
      <c r="O866" s="205"/>
    </row>
    <row r="867" spans="8:15" s="12" customFormat="1">
      <c r="H867" s="201"/>
      <c r="O867" s="205"/>
    </row>
    <row r="868" spans="8:15" s="12" customFormat="1">
      <c r="H868" s="201"/>
      <c r="O868" s="205"/>
    </row>
    <row r="869" spans="8:15" s="12" customFormat="1">
      <c r="H869" s="201"/>
      <c r="O869" s="205"/>
    </row>
    <row r="870" spans="8:15" s="12" customFormat="1">
      <c r="H870" s="201"/>
      <c r="O870" s="205"/>
    </row>
    <row r="871" spans="8:15" s="12" customFormat="1">
      <c r="H871" s="201"/>
      <c r="O871" s="205"/>
    </row>
    <row r="872" spans="8:15" s="12" customFormat="1">
      <c r="H872" s="201"/>
      <c r="O872" s="205"/>
    </row>
    <row r="873" spans="8:15" s="12" customFormat="1">
      <c r="H873" s="201"/>
      <c r="O873" s="205"/>
    </row>
    <row r="874" spans="8:15" s="12" customFormat="1">
      <c r="H874" s="201"/>
      <c r="O874" s="205"/>
    </row>
    <row r="875" spans="8:15" s="12" customFormat="1">
      <c r="H875" s="201"/>
      <c r="O875" s="205"/>
    </row>
    <row r="876" spans="8:15" s="12" customFormat="1">
      <c r="H876" s="201"/>
      <c r="O876" s="205"/>
    </row>
    <row r="877" spans="8:15" s="12" customFormat="1">
      <c r="H877" s="201"/>
      <c r="O877" s="205"/>
    </row>
    <row r="878" spans="8:15" s="12" customFormat="1">
      <c r="H878" s="201"/>
      <c r="O878" s="205"/>
    </row>
    <row r="879" spans="8:15" s="12" customFormat="1">
      <c r="H879" s="201"/>
      <c r="O879" s="205"/>
    </row>
    <row r="880" spans="8:15" s="12" customFormat="1">
      <c r="H880" s="201"/>
      <c r="O880" s="205"/>
    </row>
    <row r="881" spans="8:15" s="12" customFormat="1">
      <c r="H881" s="201"/>
      <c r="O881" s="205"/>
    </row>
    <row r="882" spans="8:15" s="12" customFormat="1">
      <c r="H882" s="201"/>
      <c r="O882" s="205"/>
    </row>
    <row r="883" spans="8:15" s="12" customFormat="1">
      <c r="H883" s="201"/>
      <c r="O883" s="205"/>
    </row>
    <row r="884" spans="8:15" s="12" customFormat="1">
      <c r="H884" s="201"/>
      <c r="O884" s="205"/>
    </row>
    <row r="885" spans="8:15" s="12" customFormat="1">
      <c r="H885" s="201"/>
      <c r="O885" s="205"/>
    </row>
    <row r="886" spans="8:15" s="12" customFormat="1">
      <c r="H886" s="201"/>
      <c r="O886" s="205"/>
    </row>
    <row r="887" spans="8:15" s="12" customFormat="1">
      <c r="H887" s="201"/>
      <c r="O887" s="205"/>
    </row>
    <row r="888" spans="8:15" s="12" customFormat="1">
      <c r="H888" s="201"/>
      <c r="O888" s="205"/>
    </row>
    <row r="889" spans="8:15" s="12" customFormat="1">
      <c r="H889" s="201"/>
      <c r="O889" s="205"/>
    </row>
    <row r="890" spans="8:15" s="12" customFormat="1">
      <c r="H890" s="201"/>
      <c r="O890" s="205"/>
    </row>
    <row r="891" spans="8:15" s="12" customFormat="1">
      <c r="H891" s="201"/>
      <c r="O891" s="205"/>
    </row>
    <row r="892" spans="8:15" s="12" customFormat="1">
      <c r="H892" s="201"/>
      <c r="O892" s="205"/>
    </row>
    <row r="893" spans="8:15" s="12" customFormat="1">
      <c r="H893" s="201"/>
      <c r="O893" s="205"/>
    </row>
    <row r="894" spans="8:15" s="12" customFormat="1">
      <c r="H894" s="201"/>
      <c r="O894" s="205"/>
    </row>
    <row r="895" spans="8:15" s="12" customFormat="1">
      <c r="H895" s="201"/>
      <c r="O895" s="205"/>
    </row>
    <row r="896" spans="8:15" s="12" customFormat="1">
      <c r="H896" s="201"/>
      <c r="O896" s="205"/>
    </row>
    <row r="897" spans="8:15" s="12" customFormat="1">
      <c r="H897" s="201"/>
      <c r="O897" s="205"/>
    </row>
    <row r="898" spans="8:15" s="12" customFormat="1">
      <c r="H898" s="201"/>
      <c r="O898" s="205"/>
    </row>
    <row r="899" spans="8:15" s="12" customFormat="1">
      <c r="H899" s="201"/>
      <c r="O899" s="205"/>
    </row>
    <row r="900" spans="8:15" s="12" customFormat="1">
      <c r="H900" s="201"/>
      <c r="O900" s="205"/>
    </row>
    <row r="901" spans="8:15" s="12" customFormat="1">
      <c r="H901" s="201"/>
      <c r="O901" s="205"/>
    </row>
    <row r="902" spans="8:15" s="12" customFormat="1">
      <c r="H902" s="201"/>
      <c r="O902" s="205"/>
    </row>
    <row r="903" spans="8:15" s="12" customFormat="1">
      <c r="H903" s="201"/>
      <c r="O903" s="205"/>
    </row>
    <row r="904" spans="8:15" s="12" customFormat="1">
      <c r="H904" s="201"/>
      <c r="O904" s="205"/>
    </row>
    <row r="905" spans="8:15" s="12" customFormat="1">
      <c r="H905" s="201"/>
      <c r="O905" s="205"/>
    </row>
    <row r="906" spans="8:15" s="12" customFormat="1">
      <c r="H906" s="201"/>
      <c r="O906" s="205"/>
    </row>
    <row r="907" spans="8:15" s="12" customFormat="1">
      <c r="H907" s="201"/>
      <c r="O907" s="205"/>
    </row>
    <row r="908" spans="8:15" s="12" customFormat="1">
      <c r="H908" s="201"/>
      <c r="O908" s="205"/>
    </row>
    <row r="909" spans="8:15" s="12" customFormat="1">
      <c r="H909" s="201"/>
      <c r="O909" s="205"/>
    </row>
    <row r="910" spans="8:15" s="12" customFormat="1">
      <c r="H910" s="201"/>
      <c r="O910" s="205"/>
    </row>
    <row r="911" spans="8:15" s="12" customFormat="1">
      <c r="H911" s="201"/>
      <c r="O911" s="205"/>
    </row>
    <row r="912" spans="8:15" s="12" customFormat="1">
      <c r="H912" s="201"/>
      <c r="O912" s="205"/>
    </row>
    <row r="913" spans="8:15" s="12" customFormat="1">
      <c r="H913" s="201"/>
      <c r="O913" s="205"/>
    </row>
    <row r="914" spans="8:15" s="12" customFormat="1">
      <c r="H914" s="201"/>
      <c r="O914" s="205"/>
    </row>
    <row r="915" spans="8:15" s="12" customFormat="1">
      <c r="H915" s="201"/>
      <c r="O915" s="205"/>
    </row>
    <row r="916" spans="8:15" s="12" customFormat="1">
      <c r="H916" s="201"/>
      <c r="O916" s="205"/>
    </row>
    <row r="917" spans="8:15" s="12" customFormat="1">
      <c r="H917" s="201"/>
      <c r="O917" s="205"/>
    </row>
    <row r="918" spans="8:15" s="12" customFormat="1">
      <c r="H918" s="201"/>
      <c r="O918" s="205"/>
    </row>
    <row r="919" spans="8:15" s="12" customFormat="1">
      <c r="H919" s="201"/>
      <c r="O919" s="205"/>
    </row>
    <row r="920" spans="8:15" s="12" customFormat="1">
      <c r="H920" s="201"/>
      <c r="O920" s="205"/>
    </row>
    <row r="921" spans="8:15" s="12" customFormat="1">
      <c r="H921" s="201"/>
      <c r="O921" s="205"/>
    </row>
    <row r="922" spans="8:15" s="12" customFormat="1">
      <c r="H922" s="201"/>
      <c r="O922" s="205"/>
    </row>
    <row r="923" spans="8:15" s="12" customFormat="1">
      <c r="H923" s="201"/>
      <c r="O923" s="205"/>
    </row>
    <row r="924" spans="8:15" s="12" customFormat="1">
      <c r="H924" s="201"/>
      <c r="O924" s="205"/>
    </row>
    <row r="925" spans="8:15" s="12" customFormat="1">
      <c r="H925" s="201"/>
      <c r="O925" s="205"/>
    </row>
    <row r="926" spans="8:15" s="12" customFormat="1">
      <c r="H926" s="201"/>
      <c r="O926" s="205"/>
    </row>
    <row r="927" spans="8:15" s="12" customFormat="1">
      <c r="H927" s="201"/>
      <c r="O927" s="205"/>
    </row>
    <row r="928" spans="8:15" s="12" customFormat="1">
      <c r="H928" s="201"/>
      <c r="O928" s="205"/>
    </row>
    <row r="929" spans="8:15" s="12" customFormat="1">
      <c r="H929" s="201"/>
      <c r="O929" s="205"/>
    </row>
    <row r="930" spans="8:15" s="12" customFormat="1">
      <c r="H930" s="201"/>
      <c r="O930" s="205"/>
    </row>
    <row r="931" spans="8:15" s="12" customFormat="1">
      <c r="H931" s="201"/>
      <c r="O931" s="205"/>
    </row>
    <row r="932" spans="8:15" s="12" customFormat="1">
      <c r="H932" s="201"/>
      <c r="O932" s="205"/>
    </row>
    <row r="933" spans="8:15" s="12" customFormat="1">
      <c r="H933" s="201"/>
      <c r="O933" s="205"/>
    </row>
    <row r="934" spans="8:15" s="12" customFormat="1">
      <c r="H934" s="201"/>
      <c r="O934" s="205"/>
    </row>
    <row r="935" spans="8:15" s="12" customFormat="1">
      <c r="H935" s="201"/>
      <c r="O935" s="205"/>
    </row>
    <row r="936" spans="8:15" s="12" customFormat="1">
      <c r="H936" s="201"/>
      <c r="O936" s="205"/>
    </row>
    <row r="937" spans="8:15" s="12" customFormat="1">
      <c r="H937" s="201"/>
      <c r="O937" s="205"/>
    </row>
    <row r="938" spans="8:15" s="12" customFormat="1">
      <c r="H938" s="201"/>
      <c r="O938" s="205"/>
    </row>
    <row r="939" spans="8:15" s="12" customFormat="1">
      <c r="H939" s="201"/>
      <c r="O939" s="205"/>
    </row>
    <row r="940" spans="8:15" s="12" customFormat="1">
      <c r="H940" s="201"/>
      <c r="O940" s="205"/>
    </row>
    <row r="941" spans="8:15" s="12" customFormat="1">
      <c r="H941" s="201"/>
      <c r="O941" s="205"/>
    </row>
    <row r="942" spans="8:15" s="12" customFormat="1">
      <c r="H942" s="201"/>
      <c r="O942" s="205"/>
    </row>
    <row r="943" spans="8:15" s="12" customFormat="1">
      <c r="H943" s="201"/>
      <c r="O943" s="205"/>
    </row>
    <row r="944" spans="8:15" s="12" customFormat="1">
      <c r="H944" s="201"/>
      <c r="O944" s="205"/>
    </row>
    <row r="945" spans="8:15" s="12" customFormat="1">
      <c r="H945" s="201"/>
      <c r="O945" s="205"/>
    </row>
    <row r="946" spans="8:15" s="12" customFormat="1">
      <c r="H946" s="201"/>
      <c r="O946" s="205"/>
    </row>
    <row r="947" spans="8:15" s="12" customFormat="1">
      <c r="H947" s="201"/>
      <c r="O947" s="205"/>
    </row>
    <row r="948" spans="8:15" s="12" customFormat="1">
      <c r="H948" s="201"/>
      <c r="O948" s="205"/>
    </row>
    <row r="949" spans="8:15" s="12" customFormat="1">
      <c r="H949" s="201"/>
      <c r="O949" s="205"/>
    </row>
    <row r="950" spans="8:15" s="12" customFormat="1">
      <c r="H950" s="201"/>
      <c r="O950" s="205"/>
    </row>
    <row r="951" spans="8:15" s="12" customFormat="1">
      <c r="H951" s="201"/>
      <c r="O951" s="205"/>
    </row>
    <row r="952" spans="8:15" s="12" customFormat="1">
      <c r="H952" s="201"/>
      <c r="O952" s="205"/>
    </row>
    <row r="953" spans="8:15" s="12" customFormat="1">
      <c r="H953" s="201"/>
      <c r="O953" s="205"/>
    </row>
    <row r="954" spans="8:15" s="12" customFormat="1">
      <c r="H954" s="201"/>
      <c r="O954" s="205"/>
    </row>
    <row r="955" spans="8:15" s="12" customFormat="1">
      <c r="H955" s="201"/>
      <c r="O955" s="205"/>
    </row>
    <row r="956" spans="8:15" s="12" customFormat="1">
      <c r="H956" s="201"/>
      <c r="O956" s="205"/>
    </row>
    <row r="957" spans="8:15" s="12" customFormat="1">
      <c r="H957" s="201"/>
      <c r="O957" s="205"/>
    </row>
    <row r="958" spans="8:15" s="12" customFormat="1">
      <c r="H958" s="201"/>
      <c r="O958" s="205"/>
    </row>
    <row r="959" spans="8:15" s="12" customFormat="1">
      <c r="H959" s="201"/>
      <c r="O959" s="205"/>
    </row>
    <row r="960" spans="8:15" s="12" customFormat="1">
      <c r="H960" s="201"/>
      <c r="O960" s="205"/>
    </row>
    <row r="961" spans="8:15" s="12" customFormat="1">
      <c r="H961" s="201"/>
      <c r="O961" s="205"/>
    </row>
    <row r="962" spans="8:15" s="12" customFormat="1">
      <c r="H962" s="201"/>
      <c r="O962" s="205"/>
    </row>
  </sheetData>
  <mergeCells count="166">
    <mergeCell ref="N165:N166"/>
    <mergeCell ref="J165:K166"/>
    <mergeCell ref="K55:K56"/>
    <mergeCell ref="N4:N11"/>
    <mergeCell ref="N13:N18"/>
    <mergeCell ref="N20:N26"/>
    <mergeCell ref="N28:N32"/>
    <mergeCell ref="N34:N37"/>
    <mergeCell ref="N39:N43"/>
    <mergeCell ref="N45:N46"/>
    <mergeCell ref="N48:N53"/>
    <mergeCell ref="N55:N56"/>
    <mergeCell ref="I165:I166"/>
    <mergeCell ref="J4:J11"/>
    <mergeCell ref="J13:J18"/>
    <mergeCell ref="J20:J26"/>
    <mergeCell ref="J28:J32"/>
    <mergeCell ref="J34:J37"/>
    <mergeCell ref="J39:J43"/>
    <mergeCell ref="J45:J46"/>
    <mergeCell ref="J48:J53"/>
    <mergeCell ref="J55:J56"/>
    <mergeCell ref="G120:G121"/>
    <mergeCell ref="G123:G124"/>
    <mergeCell ref="G126:G127"/>
    <mergeCell ref="G129:G134"/>
    <mergeCell ref="G136:G137"/>
    <mergeCell ref="G143:G144"/>
    <mergeCell ref="G148:G150"/>
    <mergeCell ref="G160:G161"/>
    <mergeCell ref="I4:I11"/>
    <mergeCell ref="I13:I18"/>
    <mergeCell ref="I20:I26"/>
    <mergeCell ref="I28:I32"/>
    <mergeCell ref="I34:I37"/>
    <mergeCell ref="I39:I43"/>
    <mergeCell ref="I45:I46"/>
    <mergeCell ref="I48:I53"/>
    <mergeCell ref="I55:I56"/>
    <mergeCell ref="F120:F121"/>
    <mergeCell ref="F123:F124"/>
    <mergeCell ref="F126:F127"/>
    <mergeCell ref="F129:F134"/>
    <mergeCell ref="F136:F137"/>
    <mergeCell ref="F143:F144"/>
    <mergeCell ref="F148:F150"/>
    <mergeCell ref="F160:F161"/>
    <mergeCell ref="G12:G17"/>
    <mergeCell ref="G19:G21"/>
    <mergeCell ref="G25:G27"/>
    <mergeCell ref="G31:G34"/>
    <mergeCell ref="G38:G40"/>
    <mergeCell ref="G42:G45"/>
    <mergeCell ref="G53:G57"/>
    <mergeCell ref="G59:G64"/>
    <mergeCell ref="G66:G71"/>
    <mergeCell ref="G73:G74"/>
    <mergeCell ref="G84:G85"/>
    <mergeCell ref="G87:G89"/>
    <mergeCell ref="G93:G98"/>
    <mergeCell ref="G100:G105"/>
    <mergeCell ref="G107:G110"/>
    <mergeCell ref="G112:G116"/>
    <mergeCell ref="F59:F64"/>
    <mergeCell ref="F66:F71"/>
    <mergeCell ref="F73:F74"/>
    <mergeCell ref="F84:F85"/>
    <mergeCell ref="F87:F89"/>
    <mergeCell ref="F93:F98"/>
    <mergeCell ref="F100:F105"/>
    <mergeCell ref="F107:F110"/>
    <mergeCell ref="F112:F116"/>
    <mergeCell ref="C120:C121"/>
    <mergeCell ref="C123:C124"/>
    <mergeCell ref="C126:C127"/>
    <mergeCell ref="C129:C134"/>
    <mergeCell ref="C136:C137"/>
    <mergeCell ref="C143:C144"/>
    <mergeCell ref="C148:C150"/>
    <mergeCell ref="C160:C161"/>
    <mergeCell ref="E12:E14"/>
    <mergeCell ref="E15:E17"/>
    <mergeCell ref="E66:E68"/>
    <mergeCell ref="E69:E71"/>
    <mergeCell ref="E100:E105"/>
    <mergeCell ref="B120:B121"/>
    <mergeCell ref="B123:B124"/>
    <mergeCell ref="B126:B127"/>
    <mergeCell ref="B129:B134"/>
    <mergeCell ref="B136:B137"/>
    <mergeCell ref="B143:B144"/>
    <mergeCell ref="B148:B150"/>
    <mergeCell ref="B160:B161"/>
    <mergeCell ref="C12:C17"/>
    <mergeCell ref="C19:C21"/>
    <mergeCell ref="C25:C27"/>
    <mergeCell ref="C31:C34"/>
    <mergeCell ref="C38:C40"/>
    <mergeCell ref="C42:C45"/>
    <mergeCell ref="C53:C57"/>
    <mergeCell ref="C59:C64"/>
    <mergeCell ref="C66:C71"/>
    <mergeCell ref="C73:C74"/>
    <mergeCell ref="C84:C85"/>
    <mergeCell ref="C87:C89"/>
    <mergeCell ref="C93:C98"/>
    <mergeCell ref="C100:C105"/>
    <mergeCell ref="C107:C110"/>
    <mergeCell ref="C112:C116"/>
    <mergeCell ref="A120:A121"/>
    <mergeCell ref="A123:A124"/>
    <mergeCell ref="A126:A127"/>
    <mergeCell ref="A129:A134"/>
    <mergeCell ref="A136:A137"/>
    <mergeCell ref="A143:A144"/>
    <mergeCell ref="A148:A150"/>
    <mergeCell ref="A160:A161"/>
    <mergeCell ref="B12:B17"/>
    <mergeCell ref="B19:B21"/>
    <mergeCell ref="B25:B27"/>
    <mergeCell ref="B31:B34"/>
    <mergeCell ref="B38:B40"/>
    <mergeCell ref="B42:B45"/>
    <mergeCell ref="B53:B57"/>
    <mergeCell ref="B59:B64"/>
    <mergeCell ref="B66:B71"/>
    <mergeCell ref="B73:B74"/>
    <mergeCell ref="B84:B85"/>
    <mergeCell ref="B87:B89"/>
    <mergeCell ref="B93:B98"/>
    <mergeCell ref="B100:B105"/>
    <mergeCell ref="B107:B110"/>
    <mergeCell ref="B112:B116"/>
    <mergeCell ref="A59:A64"/>
    <mergeCell ref="A66:A71"/>
    <mergeCell ref="A73:A74"/>
    <mergeCell ref="A84:A85"/>
    <mergeCell ref="A87:A89"/>
    <mergeCell ref="A93:A98"/>
    <mergeCell ref="A100:A105"/>
    <mergeCell ref="A107:A110"/>
    <mergeCell ref="A112:A116"/>
    <mergeCell ref="A1:G1"/>
    <mergeCell ref="I1:N1"/>
    <mergeCell ref="A12:A17"/>
    <mergeCell ref="A19:A21"/>
    <mergeCell ref="A25:A27"/>
    <mergeCell ref="A31:A34"/>
    <mergeCell ref="A38:A40"/>
    <mergeCell ref="A42:A45"/>
    <mergeCell ref="A53:A57"/>
    <mergeCell ref="F12:F17"/>
    <mergeCell ref="F19:F21"/>
    <mergeCell ref="F25:F27"/>
    <mergeCell ref="F31:F34"/>
    <mergeCell ref="F38:F40"/>
    <mergeCell ref="F42:F45"/>
    <mergeCell ref="F53:F57"/>
    <mergeCell ref="K4:K11"/>
    <mergeCell ref="K13:K18"/>
    <mergeCell ref="K20:K26"/>
    <mergeCell ref="K28:K32"/>
    <mergeCell ref="K34:K37"/>
    <mergeCell ref="K39:K43"/>
    <mergeCell ref="K45:K46"/>
    <mergeCell ref="K48:K53"/>
  </mergeCells>
  <pageMargins left="0.7" right="0.7" top="0.75" bottom="0.75" header="0.3" footer="0.3"/>
  <pageSetup paperSize="9" orientation="portrait" horizontalDpi="360" verticalDpi="36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G5"/>
  <sheetViews>
    <sheetView workbookViewId="0">
      <selection activeCell="C7" sqref="C7"/>
    </sheetView>
  </sheetViews>
  <sheetFormatPr defaultColWidth="9" defaultRowHeight="14.5"/>
  <cols>
    <col min="1" max="1" width="10.08984375" customWidth="1"/>
    <col min="4" max="5" width="7.90625" customWidth="1"/>
    <col min="6" max="6" width="11.54296875" customWidth="1"/>
  </cols>
  <sheetData>
    <row r="1" spans="1:7">
      <c r="A1" t="s">
        <v>183</v>
      </c>
      <c r="B1" t="s">
        <v>184</v>
      </c>
      <c r="C1" t="s">
        <v>184</v>
      </c>
      <c r="D1" t="s">
        <v>185</v>
      </c>
      <c r="E1" t="s">
        <v>186</v>
      </c>
      <c r="F1" t="s">
        <v>187</v>
      </c>
    </row>
    <row r="2" spans="1:7">
      <c r="A2" t="s">
        <v>188</v>
      </c>
      <c r="B2">
        <v>4891</v>
      </c>
      <c r="C2">
        <v>4925</v>
      </c>
      <c r="D2">
        <f>C2-B2</f>
        <v>34</v>
      </c>
      <c r="E2">
        <v>1.5</v>
      </c>
      <c r="F2">
        <f>D2*E2</f>
        <v>51</v>
      </c>
      <c r="G2" t="s">
        <v>189</v>
      </c>
    </row>
    <row r="3" spans="1:7">
      <c r="A3" t="s">
        <v>190</v>
      </c>
      <c r="B3">
        <v>4952</v>
      </c>
      <c r="C3">
        <v>4986</v>
      </c>
      <c r="D3">
        <f>C3-B3</f>
        <v>34</v>
      </c>
      <c r="E3">
        <v>1.5</v>
      </c>
      <c r="F3">
        <f>D3*E3</f>
        <v>51</v>
      </c>
      <c r="G3" t="s">
        <v>191</v>
      </c>
    </row>
    <row r="4" spans="1:7">
      <c r="D4">
        <f>B4-C4</f>
        <v>0</v>
      </c>
      <c r="F4">
        <f>D4*E4</f>
        <v>0</v>
      </c>
    </row>
    <row r="5" spans="1:7">
      <c r="D5">
        <f>B5-C5</f>
        <v>0</v>
      </c>
      <c r="F5">
        <f>D5*E5</f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2:D10"/>
  <sheetViews>
    <sheetView workbookViewId="0">
      <selection activeCell="D25" sqref="D25"/>
    </sheetView>
  </sheetViews>
  <sheetFormatPr defaultColWidth="9" defaultRowHeight="14.5"/>
  <cols>
    <col min="1" max="1" width="13.90625" customWidth="1"/>
    <col min="2" max="2" width="17.453125" customWidth="1"/>
    <col min="3" max="3" width="41.453125" customWidth="1"/>
    <col min="4" max="4" width="14.36328125" customWidth="1"/>
  </cols>
  <sheetData>
    <row r="2" spans="1:4" ht="20">
      <c r="B2" s="279" t="s">
        <v>192</v>
      </c>
      <c r="C2" s="280"/>
    </row>
    <row r="3" spans="1:4">
      <c r="A3" s="132" t="s">
        <v>193</v>
      </c>
      <c r="B3" s="189" t="s">
        <v>194</v>
      </c>
      <c r="C3" s="189" t="s">
        <v>195</v>
      </c>
      <c r="D3" s="132" t="s">
        <v>196</v>
      </c>
    </row>
    <row r="4" spans="1:4">
      <c r="A4" s="190">
        <v>44072</v>
      </c>
      <c r="B4" s="191" t="s">
        <v>197</v>
      </c>
      <c r="C4" s="191" t="s">
        <v>192</v>
      </c>
      <c r="D4" s="192">
        <v>62068</v>
      </c>
    </row>
    <row r="5" spans="1:4">
      <c r="A5" s="190">
        <v>44097</v>
      </c>
      <c r="B5" s="191" t="s">
        <v>198</v>
      </c>
      <c r="C5" s="191" t="s">
        <v>192</v>
      </c>
      <c r="D5" s="192">
        <v>613706</v>
      </c>
    </row>
    <row r="6" spans="1:4">
      <c r="A6" s="190">
        <v>44100</v>
      </c>
      <c r="B6" s="191" t="s">
        <v>199</v>
      </c>
      <c r="C6" s="191" t="s">
        <v>192</v>
      </c>
      <c r="D6" s="192">
        <v>442262</v>
      </c>
    </row>
    <row r="7" spans="1:4">
      <c r="A7" s="190">
        <v>44104</v>
      </c>
      <c r="B7" s="191" t="s">
        <v>200</v>
      </c>
      <c r="C7" s="191" t="s">
        <v>192</v>
      </c>
      <c r="D7" s="192">
        <v>47766</v>
      </c>
    </row>
    <row r="8" spans="1:4">
      <c r="A8" s="190">
        <v>44104</v>
      </c>
      <c r="B8" s="191" t="s">
        <v>201</v>
      </c>
      <c r="C8" s="191" t="s">
        <v>192</v>
      </c>
      <c r="D8" s="192">
        <v>171749</v>
      </c>
    </row>
    <row r="9" spans="1:4">
      <c r="A9" s="190">
        <v>44104</v>
      </c>
      <c r="B9" s="191" t="s">
        <v>202</v>
      </c>
      <c r="C9" s="193" t="s">
        <v>192</v>
      </c>
      <c r="D9" s="194">
        <v>82273</v>
      </c>
    </row>
    <row r="10" spans="1:4" ht="15.5">
      <c r="C10" s="195" t="s">
        <v>203</v>
      </c>
      <c r="D10" s="196">
        <f>SUM(D4:D9)</f>
        <v>1419824</v>
      </c>
    </row>
  </sheetData>
  <mergeCells count="1">
    <mergeCell ref="B2:C2"/>
  </mergeCells>
  <pageMargins left="0.7" right="0.7" top="0.75" bottom="0.75" header="0.3" footer="0.3"/>
  <pageSetup paperSize="9" orientation="portrait" horizontalDpi="360" verticalDpi="36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I75"/>
  <sheetViews>
    <sheetView zoomScale="110" zoomScaleNormal="110" workbookViewId="0">
      <pane ySplit="1" topLeftCell="A56" activePane="bottomLeft" state="frozen"/>
      <selection pane="bottomLeft" activeCell="A74" sqref="A74:C75"/>
    </sheetView>
  </sheetViews>
  <sheetFormatPr defaultColWidth="9.08984375" defaultRowHeight="14.5"/>
  <cols>
    <col min="1" max="1" width="13.453125" style="140" customWidth="1"/>
    <col min="2" max="2" width="20.453125" style="116" customWidth="1"/>
    <col min="3" max="3" width="40.36328125" style="116" customWidth="1"/>
    <col min="4" max="4" width="14.453125" style="16" customWidth="1"/>
    <col min="5" max="5" width="16" style="116" customWidth="1"/>
    <col min="6" max="6" width="11" style="116" customWidth="1"/>
    <col min="7" max="7" width="14.6328125" style="140" customWidth="1"/>
    <col min="8" max="8" width="21.08984375" style="154" customWidth="1"/>
    <col min="9" max="9" width="26.1796875" style="115" customWidth="1"/>
    <col min="10" max="10" width="10.7265625" style="115" customWidth="1"/>
    <col min="11" max="16384" width="9.08984375" style="115"/>
  </cols>
  <sheetData>
    <row r="1" spans="1:9" ht="42">
      <c r="A1" s="119" t="s">
        <v>193</v>
      </c>
      <c r="B1" s="120" t="s">
        <v>194</v>
      </c>
      <c r="C1" s="120" t="s">
        <v>204</v>
      </c>
      <c r="D1" s="121" t="s">
        <v>196</v>
      </c>
      <c r="E1" s="120" t="s">
        <v>205</v>
      </c>
      <c r="F1" s="120" t="s">
        <v>206</v>
      </c>
      <c r="G1" s="119" t="s">
        <v>207</v>
      </c>
      <c r="H1" s="155" t="s">
        <v>208</v>
      </c>
    </row>
    <row r="2" spans="1:9" s="117" customFormat="1">
      <c r="A2" s="150">
        <v>45749</v>
      </c>
      <c r="B2" s="144" t="s">
        <v>209</v>
      </c>
      <c r="C2" s="144" t="s">
        <v>110</v>
      </c>
      <c r="D2" s="156">
        <v>27824</v>
      </c>
      <c r="E2" s="144" t="s">
        <v>210</v>
      </c>
      <c r="F2" s="144" t="s">
        <v>211</v>
      </c>
      <c r="G2" s="157">
        <v>45692</v>
      </c>
      <c r="H2" s="158" t="s">
        <v>212</v>
      </c>
    </row>
    <row r="3" spans="1:9">
      <c r="A3" s="140">
        <v>45749</v>
      </c>
      <c r="B3" s="116">
        <v>5363</v>
      </c>
      <c r="C3" s="116" t="s">
        <v>213</v>
      </c>
      <c r="D3" s="16">
        <v>305</v>
      </c>
    </row>
    <row r="4" spans="1:9" s="117" customFormat="1">
      <c r="A4" s="150">
        <v>45750</v>
      </c>
      <c r="B4" s="144" t="s">
        <v>214</v>
      </c>
      <c r="C4" s="144" t="s">
        <v>215</v>
      </c>
      <c r="D4" s="156">
        <v>2100</v>
      </c>
      <c r="E4" s="144" t="s">
        <v>210</v>
      </c>
      <c r="F4" s="144" t="s">
        <v>216</v>
      </c>
      <c r="G4" s="150">
        <v>45754</v>
      </c>
      <c r="H4" s="158" t="s">
        <v>212</v>
      </c>
    </row>
    <row r="5" spans="1:9" s="117" customFormat="1">
      <c r="A5" s="157">
        <v>45720</v>
      </c>
      <c r="B5" s="174" t="s">
        <v>217</v>
      </c>
      <c r="C5" s="174" t="s">
        <v>218</v>
      </c>
      <c r="D5" s="156">
        <v>993</v>
      </c>
      <c r="E5" s="226" t="s">
        <v>210</v>
      </c>
      <c r="F5" s="226" t="s">
        <v>216</v>
      </c>
      <c r="G5" s="227" t="s">
        <v>738</v>
      </c>
      <c r="H5" s="228" t="s">
        <v>212</v>
      </c>
    </row>
    <row r="6" spans="1:9" s="117" customFormat="1" ht="29">
      <c r="A6" s="150">
        <v>45752</v>
      </c>
      <c r="B6" s="144" t="s">
        <v>219</v>
      </c>
      <c r="C6" s="144" t="s">
        <v>220</v>
      </c>
      <c r="D6" s="156">
        <v>23600</v>
      </c>
      <c r="E6" s="144" t="s">
        <v>210</v>
      </c>
      <c r="F6" s="144" t="s">
        <v>216</v>
      </c>
      <c r="G6" s="150">
        <v>45754</v>
      </c>
      <c r="H6" s="158" t="s">
        <v>212</v>
      </c>
      <c r="I6" s="158" t="s">
        <v>221</v>
      </c>
    </row>
    <row r="7" spans="1:9" s="117" customFormat="1">
      <c r="A7" s="150">
        <v>45754</v>
      </c>
      <c r="B7" s="144" t="s">
        <v>222</v>
      </c>
      <c r="C7" s="144" t="s">
        <v>223</v>
      </c>
      <c r="D7" s="156">
        <v>125847</v>
      </c>
      <c r="E7" s="144" t="s">
        <v>210</v>
      </c>
      <c r="F7" s="144" t="s">
        <v>216</v>
      </c>
      <c r="G7" s="150">
        <v>45789</v>
      </c>
      <c r="H7" s="158" t="s">
        <v>212</v>
      </c>
    </row>
    <row r="8" spans="1:9" ht="15.5">
      <c r="A8" s="159">
        <v>45750</v>
      </c>
      <c r="B8" s="12">
        <v>10</v>
      </c>
      <c r="C8" s="12" t="s">
        <v>224</v>
      </c>
      <c r="D8" s="160">
        <v>871</v>
      </c>
    </row>
    <row r="9" spans="1:9" s="151" customFormat="1" ht="15.5">
      <c r="A9" s="161">
        <v>45934</v>
      </c>
      <c r="B9" s="52" t="s">
        <v>225</v>
      </c>
      <c r="C9" s="89" t="s">
        <v>226</v>
      </c>
      <c r="D9" s="162">
        <v>3894</v>
      </c>
      <c r="E9" s="163" t="s">
        <v>227</v>
      </c>
      <c r="F9" s="144" t="s">
        <v>211</v>
      </c>
      <c r="G9" s="164"/>
      <c r="H9" s="165" t="s">
        <v>228</v>
      </c>
    </row>
    <row r="10" spans="1:9" s="117" customFormat="1">
      <c r="A10" s="150">
        <v>45758</v>
      </c>
      <c r="B10" s="144" t="s">
        <v>229</v>
      </c>
      <c r="C10" s="144" t="s">
        <v>223</v>
      </c>
      <c r="D10" s="156">
        <v>56640</v>
      </c>
      <c r="E10" s="144" t="s">
        <v>210</v>
      </c>
      <c r="F10" s="144" t="s">
        <v>216</v>
      </c>
      <c r="G10" s="150">
        <v>45789</v>
      </c>
      <c r="H10" s="158" t="s">
        <v>212</v>
      </c>
    </row>
    <row r="11" spans="1:9" s="117" customFormat="1">
      <c r="A11" s="55" t="s">
        <v>230</v>
      </c>
      <c r="B11" s="166">
        <v>600008430567</v>
      </c>
      <c r="C11" s="55" t="s">
        <v>231</v>
      </c>
      <c r="D11" s="156">
        <v>1659</v>
      </c>
      <c r="E11" s="144" t="s">
        <v>210</v>
      </c>
      <c r="F11" s="144" t="s">
        <v>216</v>
      </c>
      <c r="G11" s="150">
        <v>45783</v>
      </c>
      <c r="H11" s="158" t="s">
        <v>212</v>
      </c>
    </row>
    <row r="12" spans="1:9" s="117" customFormat="1">
      <c r="A12" s="167" t="s">
        <v>232</v>
      </c>
      <c r="B12" s="55" t="s">
        <v>233</v>
      </c>
      <c r="C12" s="144" t="s">
        <v>223</v>
      </c>
      <c r="D12" s="156">
        <v>43896</v>
      </c>
      <c r="E12" s="144" t="s">
        <v>210</v>
      </c>
      <c r="F12" s="144" t="s">
        <v>211</v>
      </c>
      <c r="G12" s="150">
        <v>45825</v>
      </c>
      <c r="H12" s="158" t="s">
        <v>212</v>
      </c>
    </row>
    <row r="13" spans="1:9" s="117" customFormat="1">
      <c r="A13" s="225" t="s">
        <v>234</v>
      </c>
      <c r="B13" s="102" t="s">
        <v>235</v>
      </c>
      <c r="C13" s="174" t="s">
        <v>218</v>
      </c>
      <c r="D13" s="156">
        <v>600</v>
      </c>
      <c r="E13" s="226" t="s">
        <v>210</v>
      </c>
      <c r="F13" s="226" t="s">
        <v>216</v>
      </c>
      <c r="G13" s="227" t="s">
        <v>738</v>
      </c>
      <c r="H13" s="228" t="s">
        <v>212</v>
      </c>
    </row>
    <row r="14" spans="1:9" s="117" customFormat="1">
      <c r="A14" s="55" t="s">
        <v>236</v>
      </c>
      <c r="B14" s="55" t="s">
        <v>237</v>
      </c>
      <c r="C14" s="55" t="s">
        <v>238</v>
      </c>
      <c r="D14" s="156">
        <v>3835</v>
      </c>
      <c r="E14" s="144" t="s">
        <v>210</v>
      </c>
      <c r="F14" s="144" t="s">
        <v>211</v>
      </c>
      <c r="G14" s="150" t="s">
        <v>239</v>
      </c>
      <c r="H14" s="158" t="s">
        <v>212</v>
      </c>
    </row>
    <row r="15" spans="1:9" s="117" customFormat="1">
      <c r="A15" s="150" t="s">
        <v>240</v>
      </c>
      <c r="B15" s="55" t="s">
        <v>241</v>
      </c>
      <c r="C15" s="144" t="s">
        <v>223</v>
      </c>
      <c r="D15" s="156">
        <v>39672</v>
      </c>
      <c r="E15" s="144" t="s">
        <v>210</v>
      </c>
      <c r="F15" s="144" t="s">
        <v>211</v>
      </c>
      <c r="G15" s="150">
        <v>45825</v>
      </c>
      <c r="H15" s="158" t="s">
        <v>212</v>
      </c>
    </row>
    <row r="16" spans="1:9" s="117" customFormat="1">
      <c r="A16" s="150" t="s">
        <v>240</v>
      </c>
      <c r="B16" s="55" t="s">
        <v>242</v>
      </c>
      <c r="C16" s="144" t="s">
        <v>57</v>
      </c>
      <c r="D16" s="156">
        <v>196706</v>
      </c>
      <c r="E16" s="238" t="s">
        <v>210</v>
      </c>
      <c r="F16" s="238" t="s">
        <v>211</v>
      </c>
      <c r="G16" s="150" t="s">
        <v>754</v>
      </c>
      <c r="H16" s="158" t="s">
        <v>212</v>
      </c>
    </row>
    <row r="17" spans="1:8" s="152" customFormat="1">
      <c r="A17" s="168" t="s">
        <v>243</v>
      </c>
      <c r="B17" s="169" t="s">
        <v>244</v>
      </c>
      <c r="C17" s="169" t="s">
        <v>245</v>
      </c>
      <c r="D17" s="170">
        <v>2767520</v>
      </c>
      <c r="E17" s="169"/>
      <c r="F17" s="169"/>
      <c r="G17" s="168"/>
      <c r="H17" s="171">
        <v>3500000</v>
      </c>
    </row>
    <row r="18" spans="1:8" s="117" customFormat="1">
      <c r="A18" s="55" t="s">
        <v>246</v>
      </c>
      <c r="B18" s="55">
        <v>60000807382</v>
      </c>
      <c r="C18" s="55" t="s">
        <v>247</v>
      </c>
      <c r="D18" s="156">
        <v>3880</v>
      </c>
      <c r="E18" s="144" t="s">
        <v>210</v>
      </c>
      <c r="F18" s="144" t="s">
        <v>216</v>
      </c>
      <c r="G18" s="150">
        <v>45783</v>
      </c>
      <c r="H18" s="158" t="s">
        <v>212</v>
      </c>
    </row>
    <row r="19" spans="1:8" s="117" customFormat="1">
      <c r="A19" s="55" t="s">
        <v>246</v>
      </c>
      <c r="B19" s="55">
        <v>60000803688</v>
      </c>
      <c r="C19" s="55" t="s">
        <v>248</v>
      </c>
      <c r="D19" s="156">
        <v>354</v>
      </c>
      <c r="E19" s="144" t="s">
        <v>210</v>
      </c>
      <c r="F19" s="144" t="s">
        <v>216</v>
      </c>
      <c r="G19" s="150">
        <v>45783</v>
      </c>
      <c r="H19" s="158" t="s">
        <v>212</v>
      </c>
    </row>
    <row r="20" spans="1:8" s="117" customFormat="1">
      <c r="A20" s="55" t="s">
        <v>246</v>
      </c>
      <c r="B20" s="55">
        <v>60000807390</v>
      </c>
      <c r="C20" s="55" t="s">
        <v>249</v>
      </c>
      <c r="D20" s="156">
        <v>532</v>
      </c>
      <c r="E20" s="144" t="s">
        <v>210</v>
      </c>
      <c r="F20" s="144" t="s">
        <v>216</v>
      </c>
      <c r="G20" s="150">
        <v>45783</v>
      </c>
      <c r="H20" s="158" t="s">
        <v>212</v>
      </c>
    </row>
    <row r="21" spans="1:8">
      <c r="A21" s="140" t="s">
        <v>250</v>
      </c>
      <c r="B21" s="53" t="s">
        <v>251</v>
      </c>
      <c r="C21" s="169" t="s">
        <v>245</v>
      </c>
      <c r="D21" s="16">
        <v>468931</v>
      </c>
    </row>
    <row r="22" spans="1:8" s="117" customFormat="1">
      <c r="A22" s="150">
        <v>45784</v>
      </c>
      <c r="B22" s="55" t="s">
        <v>252</v>
      </c>
      <c r="C22" s="144" t="s">
        <v>110</v>
      </c>
      <c r="D22" s="156">
        <v>12213</v>
      </c>
      <c r="E22" s="144" t="s">
        <v>210</v>
      </c>
      <c r="F22" s="144"/>
      <c r="G22" s="150">
        <v>45784</v>
      </c>
      <c r="H22" s="158" t="s">
        <v>212</v>
      </c>
    </row>
    <row r="23" spans="1:8" ht="14" customHeight="1">
      <c r="A23" s="140">
        <v>45785</v>
      </c>
      <c r="B23" s="116">
        <v>2881112501</v>
      </c>
      <c r="C23" s="116" t="s">
        <v>253</v>
      </c>
      <c r="D23" s="16">
        <v>2470</v>
      </c>
    </row>
    <row r="24" spans="1:8" s="151" customFormat="1">
      <c r="A24" s="161">
        <v>45874</v>
      </c>
      <c r="B24" s="52" t="s">
        <v>254</v>
      </c>
      <c r="C24" s="89" t="s">
        <v>226</v>
      </c>
      <c r="D24" s="172">
        <v>7198</v>
      </c>
      <c r="E24" s="163" t="s">
        <v>227</v>
      </c>
      <c r="F24" s="144" t="s">
        <v>211</v>
      </c>
      <c r="G24" s="164" t="s">
        <v>255</v>
      </c>
      <c r="H24" s="165"/>
    </row>
    <row r="25" spans="1:8" s="117" customFormat="1">
      <c r="A25" s="150">
        <v>45786</v>
      </c>
      <c r="B25" s="144" t="s">
        <v>256</v>
      </c>
      <c r="C25" s="144" t="s">
        <v>238</v>
      </c>
      <c r="D25" s="156">
        <v>4720</v>
      </c>
      <c r="E25" s="144" t="s">
        <v>210</v>
      </c>
      <c r="F25" s="144" t="s">
        <v>211</v>
      </c>
      <c r="G25" s="150">
        <v>45817</v>
      </c>
      <c r="H25" s="158" t="s">
        <v>212</v>
      </c>
    </row>
    <row r="26" spans="1:8" s="117" customFormat="1">
      <c r="A26" s="150">
        <v>45786</v>
      </c>
      <c r="B26" s="144" t="s">
        <v>257</v>
      </c>
      <c r="C26" s="144" t="s">
        <v>258</v>
      </c>
      <c r="D26" s="156">
        <v>4838</v>
      </c>
      <c r="E26" s="144" t="s">
        <v>210</v>
      </c>
      <c r="F26" s="144" t="s">
        <v>211</v>
      </c>
      <c r="G26" s="150">
        <v>45810</v>
      </c>
      <c r="H26" s="158" t="s">
        <v>212</v>
      </c>
    </row>
    <row r="27" spans="1:8" s="117" customFormat="1">
      <c r="A27" s="150">
        <v>45789</v>
      </c>
      <c r="B27" s="144" t="s">
        <v>259</v>
      </c>
      <c r="C27" s="144" t="s">
        <v>260</v>
      </c>
      <c r="D27" s="156">
        <v>3230</v>
      </c>
      <c r="E27" s="144" t="s">
        <v>261</v>
      </c>
      <c r="F27" s="144"/>
      <c r="G27" s="150" t="s">
        <v>239</v>
      </c>
      <c r="H27" s="158"/>
    </row>
    <row r="28" spans="1:8" s="117" customFormat="1">
      <c r="A28" s="150" t="s">
        <v>262</v>
      </c>
      <c r="B28" s="144" t="s">
        <v>263</v>
      </c>
      <c r="C28" s="144" t="s">
        <v>223</v>
      </c>
      <c r="D28" s="156">
        <v>108153</v>
      </c>
      <c r="E28" s="144" t="s">
        <v>210</v>
      </c>
      <c r="F28" s="144" t="s">
        <v>211</v>
      </c>
      <c r="G28" s="150">
        <v>45825</v>
      </c>
      <c r="H28" s="158" t="s">
        <v>212</v>
      </c>
    </row>
    <row r="29" spans="1:8">
      <c r="A29" s="140" t="s">
        <v>264</v>
      </c>
      <c r="B29" s="116">
        <v>5974</v>
      </c>
      <c r="C29" s="116" t="s">
        <v>213</v>
      </c>
      <c r="D29" s="16">
        <v>463</v>
      </c>
    </row>
    <row r="30" spans="1:8" s="117" customFormat="1">
      <c r="A30" s="150" t="s">
        <v>239</v>
      </c>
      <c r="B30" s="144">
        <v>4446</v>
      </c>
      <c r="C30" s="144" t="s">
        <v>265</v>
      </c>
      <c r="D30" s="156">
        <v>660</v>
      </c>
      <c r="E30" s="144" t="s">
        <v>266</v>
      </c>
      <c r="F30" s="144"/>
      <c r="G30" s="150" t="s">
        <v>239</v>
      </c>
      <c r="H30" s="158" t="s">
        <v>212</v>
      </c>
    </row>
    <row r="31" spans="1:8" s="117" customFormat="1">
      <c r="A31" s="150" t="s">
        <v>239</v>
      </c>
      <c r="B31" s="144">
        <v>171</v>
      </c>
      <c r="C31" s="144" t="s">
        <v>267</v>
      </c>
      <c r="D31" s="156">
        <v>1700</v>
      </c>
      <c r="E31" s="144" t="s">
        <v>210</v>
      </c>
      <c r="F31" s="144" t="s">
        <v>211</v>
      </c>
      <c r="G31" s="150" t="s">
        <v>268</v>
      </c>
      <c r="H31" s="158" t="s">
        <v>212</v>
      </c>
    </row>
    <row r="32" spans="1:8" s="117" customFormat="1">
      <c r="A32" s="55" t="s">
        <v>269</v>
      </c>
      <c r="B32" s="144"/>
      <c r="C32" s="173" t="s">
        <v>270</v>
      </c>
      <c r="D32" s="156">
        <v>600</v>
      </c>
      <c r="E32" s="144" t="s">
        <v>266</v>
      </c>
      <c r="F32" s="144"/>
      <c r="G32" s="55" t="s">
        <v>269</v>
      </c>
      <c r="H32" s="158" t="s">
        <v>212</v>
      </c>
    </row>
    <row r="33" spans="1:8" s="117" customFormat="1">
      <c r="A33" s="157">
        <v>45722</v>
      </c>
      <c r="B33" s="174">
        <v>53555</v>
      </c>
      <c r="C33" s="175" t="s">
        <v>271</v>
      </c>
      <c r="D33" s="156">
        <v>100</v>
      </c>
      <c r="E33" s="144" t="s">
        <v>272</v>
      </c>
      <c r="F33" s="144"/>
      <c r="G33" s="150"/>
      <c r="H33" s="158" t="s">
        <v>212</v>
      </c>
    </row>
    <row r="34" spans="1:8" s="117" customFormat="1">
      <c r="A34" s="157" t="s">
        <v>273</v>
      </c>
      <c r="B34" s="174" t="s">
        <v>274</v>
      </c>
      <c r="C34" s="175" t="s">
        <v>275</v>
      </c>
      <c r="D34" s="156">
        <v>310</v>
      </c>
      <c r="E34" s="144" t="s">
        <v>266</v>
      </c>
      <c r="F34" s="144"/>
      <c r="G34" s="150" t="s">
        <v>276</v>
      </c>
      <c r="H34" s="158" t="s">
        <v>212</v>
      </c>
    </row>
    <row r="35" spans="1:8" s="117" customFormat="1">
      <c r="A35" s="150" t="s">
        <v>273</v>
      </c>
      <c r="B35" s="55">
        <v>10057795306</v>
      </c>
      <c r="C35" s="55" t="s">
        <v>247</v>
      </c>
      <c r="D35" s="156">
        <v>2212</v>
      </c>
      <c r="E35" s="144" t="s">
        <v>210</v>
      </c>
      <c r="F35" s="144" t="s">
        <v>211</v>
      </c>
      <c r="G35" s="150">
        <v>45813</v>
      </c>
      <c r="H35" s="158" t="s">
        <v>212</v>
      </c>
    </row>
    <row r="36" spans="1:8" s="117" customFormat="1">
      <c r="A36" s="150" t="s">
        <v>273</v>
      </c>
      <c r="B36" s="55">
        <v>10057795286</v>
      </c>
      <c r="C36" s="55" t="s">
        <v>248</v>
      </c>
      <c r="D36" s="156">
        <v>181</v>
      </c>
      <c r="E36" s="144" t="s">
        <v>210</v>
      </c>
      <c r="F36" s="144" t="s">
        <v>211</v>
      </c>
      <c r="G36" s="150">
        <v>45813</v>
      </c>
      <c r="H36" s="158" t="s">
        <v>212</v>
      </c>
    </row>
    <row r="37" spans="1:8" s="117" customFormat="1">
      <c r="A37" s="150" t="s">
        <v>273</v>
      </c>
      <c r="B37" s="55">
        <v>10057795307</v>
      </c>
      <c r="C37" s="55" t="s">
        <v>249</v>
      </c>
      <c r="D37" s="156">
        <v>271</v>
      </c>
      <c r="E37" s="144" t="s">
        <v>210</v>
      </c>
      <c r="F37" s="144" t="s">
        <v>211</v>
      </c>
      <c r="G37" s="150">
        <v>45813</v>
      </c>
      <c r="H37" s="158" t="s">
        <v>212</v>
      </c>
    </row>
    <row r="38" spans="1:8">
      <c r="A38" s="108">
        <v>45753</v>
      </c>
      <c r="B38" s="53" t="s">
        <v>277</v>
      </c>
      <c r="C38" s="176" t="s">
        <v>278</v>
      </c>
      <c r="D38" s="16">
        <v>166321</v>
      </c>
    </row>
    <row r="39" spans="1:8" s="117" customFormat="1">
      <c r="A39" s="150">
        <v>45817</v>
      </c>
      <c r="B39" s="222" t="s">
        <v>279</v>
      </c>
      <c r="C39" s="144" t="s">
        <v>223</v>
      </c>
      <c r="D39" s="223">
        <v>96878</v>
      </c>
      <c r="E39" s="144" t="s">
        <v>210</v>
      </c>
      <c r="F39" s="144" t="s">
        <v>211</v>
      </c>
      <c r="G39" s="150" t="s">
        <v>732</v>
      </c>
      <c r="H39" s="158" t="s">
        <v>212</v>
      </c>
    </row>
    <row r="40" spans="1:8" s="117" customFormat="1">
      <c r="A40" s="150">
        <v>45818</v>
      </c>
      <c r="B40" s="144">
        <v>2759</v>
      </c>
      <c r="C40" s="177" t="s">
        <v>280</v>
      </c>
      <c r="D40" s="156">
        <v>380</v>
      </c>
      <c r="E40" s="144" t="s">
        <v>266</v>
      </c>
      <c r="F40" s="144"/>
      <c r="G40" s="150">
        <v>45818</v>
      </c>
      <c r="H40" s="158" t="s">
        <v>212</v>
      </c>
    </row>
    <row r="41" spans="1:8">
      <c r="A41" s="140">
        <v>45819</v>
      </c>
      <c r="B41" s="116" t="s">
        <v>281</v>
      </c>
      <c r="C41" s="116" t="s">
        <v>238</v>
      </c>
      <c r="D41" s="16">
        <v>708</v>
      </c>
    </row>
    <row r="42" spans="1:8" s="117" customFormat="1" ht="15.5" customHeight="1">
      <c r="A42" s="231">
        <v>45997</v>
      </c>
      <c r="B42" s="54" t="s">
        <v>282</v>
      </c>
      <c r="C42" s="54" t="s">
        <v>283</v>
      </c>
      <c r="D42" s="156">
        <v>1121</v>
      </c>
      <c r="E42" s="144" t="s">
        <v>210</v>
      </c>
      <c r="F42" s="144" t="s">
        <v>216</v>
      </c>
      <c r="G42" s="150" t="s">
        <v>752</v>
      </c>
      <c r="H42" s="158" t="s">
        <v>212</v>
      </c>
    </row>
    <row r="43" spans="1:8" ht="14.5" customHeight="1">
      <c r="A43" s="140" t="s">
        <v>284</v>
      </c>
      <c r="B43" s="116" t="s">
        <v>285</v>
      </c>
      <c r="C43" s="116" t="s">
        <v>286</v>
      </c>
      <c r="D43" s="16">
        <v>300</v>
      </c>
    </row>
    <row r="44" spans="1:8" s="117" customFormat="1">
      <c r="A44" s="150" t="s">
        <v>287</v>
      </c>
      <c r="B44" s="144" t="s">
        <v>288</v>
      </c>
      <c r="C44" s="144" t="s">
        <v>223</v>
      </c>
      <c r="D44" s="156">
        <v>171808</v>
      </c>
      <c r="E44" s="144" t="s">
        <v>210</v>
      </c>
      <c r="F44" s="144" t="s">
        <v>211</v>
      </c>
      <c r="G44" s="150" t="s">
        <v>732</v>
      </c>
      <c r="H44" s="158" t="s">
        <v>212</v>
      </c>
    </row>
    <row r="45" spans="1:8" s="153" customFormat="1">
      <c r="A45" s="178" t="s">
        <v>289</v>
      </c>
      <c r="B45" s="179" t="s">
        <v>290</v>
      </c>
      <c r="C45" s="179" t="s">
        <v>223</v>
      </c>
      <c r="D45" s="180">
        <v>115552</v>
      </c>
      <c r="E45" s="181">
        <f>3100*2</f>
        <v>6200</v>
      </c>
      <c r="F45" s="182">
        <f>D45-E45</f>
        <v>109352</v>
      </c>
      <c r="G45" s="183"/>
      <c r="H45" s="184" t="s">
        <v>291</v>
      </c>
    </row>
    <row r="46" spans="1:8">
      <c r="A46" s="185" t="s">
        <v>292</v>
      </c>
      <c r="B46" s="109" t="s">
        <v>290</v>
      </c>
      <c r="C46" s="109" t="s">
        <v>223</v>
      </c>
      <c r="D46" s="16">
        <v>39737</v>
      </c>
      <c r="F46" s="186"/>
    </row>
    <row r="47" spans="1:8">
      <c r="A47" s="159" t="s">
        <v>293</v>
      </c>
      <c r="B47" s="12">
        <v>10064475504</v>
      </c>
      <c r="C47" s="109" t="s">
        <v>247</v>
      </c>
      <c r="D47" s="16">
        <v>1951</v>
      </c>
      <c r="F47" s="186"/>
    </row>
    <row r="48" spans="1:8">
      <c r="A48" s="159" t="s">
        <v>293</v>
      </c>
      <c r="B48" s="53">
        <v>10058221143</v>
      </c>
      <c r="C48" s="109" t="s">
        <v>248</v>
      </c>
      <c r="D48" s="16">
        <v>192</v>
      </c>
      <c r="F48" s="186"/>
    </row>
    <row r="49" spans="1:9">
      <c r="A49" s="159" t="s">
        <v>293</v>
      </c>
      <c r="B49" s="53">
        <v>10058221133</v>
      </c>
      <c r="C49" s="109" t="s">
        <v>249</v>
      </c>
      <c r="D49" s="16">
        <v>288</v>
      </c>
      <c r="F49" s="186"/>
    </row>
    <row r="50" spans="1:9" s="153" customFormat="1">
      <c r="A50" s="178" t="s">
        <v>294</v>
      </c>
      <c r="B50" s="179" t="s">
        <v>295</v>
      </c>
      <c r="C50" s="179" t="s">
        <v>223</v>
      </c>
      <c r="D50" s="180">
        <v>20060</v>
      </c>
      <c r="E50" s="181">
        <f>1700*2</f>
        <v>3400</v>
      </c>
      <c r="F50" s="182">
        <f t="shared" ref="F50" si="0">D50-E50</f>
        <v>16660</v>
      </c>
      <c r="G50" s="183"/>
      <c r="H50" s="184" t="s">
        <v>296</v>
      </c>
    </row>
    <row r="51" spans="1:9" s="117" customFormat="1" ht="29">
      <c r="A51" s="157" t="s">
        <v>297</v>
      </c>
      <c r="B51" s="55" t="s">
        <v>298</v>
      </c>
      <c r="C51" s="174" t="s">
        <v>299</v>
      </c>
      <c r="D51" s="156">
        <v>17291</v>
      </c>
      <c r="E51" s="144"/>
      <c r="F51" s="144"/>
      <c r="G51" s="117" t="s">
        <v>276</v>
      </c>
      <c r="H51" s="158" t="s">
        <v>212</v>
      </c>
      <c r="I51" s="150" t="s">
        <v>300</v>
      </c>
    </row>
    <row r="52" spans="1:9" s="151" customFormat="1">
      <c r="A52" s="187" t="s">
        <v>301</v>
      </c>
      <c r="B52" s="89">
        <v>190</v>
      </c>
      <c r="C52" s="89" t="s">
        <v>218</v>
      </c>
      <c r="D52" s="172">
        <v>1700</v>
      </c>
      <c r="E52" s="163" t="s">
        <v>302</v>
      </c>
      <c r="F52" s="163"/>
      <c r="G52" s="164"/>
      <c r="H52" s="165" t="s">
        <v>303</v>
      </c>
    </row>
    <row r="53" spans="1:9" s="117" customFormat="1">
      <c r="A53" s="157" t="s">
        <v>297</v>
      </c>
      <c r="B53" s="144"/>
      <c r="C53" s="55" t="s">
        <v>304</v>
      </c>
      <c r="D53" s="156">
        <v>350</v>
      </c>
      <c r="E53" s="144" t="s">
        <v>266</v>
      </c>
      <c r="F53" s="144"/>
      <c r="G53" s="157" t="s">
        <v>297</v>
      </c>
      <c r="H53" s="158" t="s">
        <v>212</v>
      </c>
      <c r="I53" s="117" t="s">
        <v>305</v>
      </c>
    </row>
    <row r="54" spans="1:9" s="117" customFormat="1">
      <c r="A54" s="157" t="s">
        <v>297</v>
      </c>
      <c r="B54" s="144"/>
      <c r="C54" s="55" t="s">
        <v>306</v>
      </c>
      <c r="D54" s="156">
        <v>380</v>
      </c>
      <c r="E54" s="144" t="s">
        <v>266</v>
      </c>
      <c r="F54" s="144"/>
      <c r="G54" s="157" t="s">
        <v>297</v>
      </c>
      <c r="H54" s="158" t="s">
        <v>212</v>
      </c>
      <c r="I54" s="117" t="s">
        <v>305</v>
      </c>
    </row>
    <row r="55" spans="1:9" s="117" customFormat="1">
      <c r="A55" s="150">
        <v>45839</v>
      </c>
      <c r="B55" s="144" t="s">
        <v>307</v>
      </c>
      <c r="C55" s="144" t="s">
        <v>308</v>
      </c>
      <c r="D55" s="156">
        <v>1100</v>
      </c>
      <c r="E55" s="144" t="s">
        <v>266</v>
      </c>
      <c r="F55" s="144"/>
      <c r="G55" s="150">
        <v>45839</v>
      </c>
      <c r="H55" s="158" t="s">
        <v>212</v>
      </c>
      <c r="I55" s="117" t="s">
        <v>305</v>
      </c>
    </row>
    <row r="56" spans="1:9">
      <c r="A56" s="140">
        <v>45841</v>
      </c>
      <c r="B56" s="188" t="s">
        <v>309</v>
      </c>
      <c r="C56" s="176" t="s">
        <v>278</v>
      </c>
      <c r="D56" s="16">
        <v>52510</v>
      </c>
    </row>
    <row r="57" spans="1:9" s="117" customFormat="1">
      <c r="A57" s="150">
        <v>45846</v>
      </c>
      <c r="B57" s="220">
        <v>2881115420</v>
      </c>
      <c r="C57" s="221" t="s">
        <v>253</v>
      </c>
      <c r="D57" s="156">
        <v>450</v>
      </c>
      <c r="E57" s="144" t="s">
        <v>266</v>
      </c>
      <c r="F57" s="144"/>
      <c r="G57" s="150">
        <v>45846</v>
      </c>
      <c r="H57" s="158" t="s">
        <v>212</v>
      </c>
    </row>
    <row r="58" spans="1:9" s="151" customFormat="1">
      <c r="A58" s="164">
        <v>45847</v>
      </c>
      <c r="B58" s="163" t="s">
        <v>310</v>
      </c>
      <c r="C58" s="163" t="s">
        <v>238</v>
      </c>
      <c r="D58" s="172">
        <v>18880</v>
      </c>
      <c r="E58" s="163"/>
      <c r="F58" s="163"/>
      <c r="G58" s="164"/>
      <c r="H58" s="165" t="s">
        <v>748</v>
      </c>
    </row>
    <row r="59" spans="1:9" s="117" customFormat="1">
      <c r="A59" s="150" t="s">
        <v>736</v>
      </c>
      <c r="B59" s="144" t="s">
        <v>737</v>
      </c>
      <c r="C59" s="144" t="s">
        <v>110</v>
      </c>
      <c r="D59" s="156">
        <v>53808</v>
      </c>
      <c r="E59" s="144" t="s">
        <v>210</v>
      </c>
      <c r="F59" s="144"/>
      <c r="G59" s="150" t="s">
        <v>736</v>
      </c>
      <c r="H59" s="158" t="s">
        <v>212</v>
      </c>
    </row>
    <row r="60" spans="1:9" s="117" customFormat="1">
      <c r="A60" s="150" t="s">
        <v>746</v>
      </c>
      <c r="B60" s="144">
        <v>865</v>
      </c>
      <c r="C60" s="144" t="s">
        <v>747</v>
      </c>
      <c r="D60" s="156">
        <v>19116</v>
      </c>
      <c r="E60" s="144" t="s">
        <v>210</v>
      </c>
      <c r="F60" s="144"/>
      <c r="G60" s="150" t="s">
        <v>749</v>
      </c>
      <c r="H60" s="158" t="s">
        <v>212</v>
      </c>
    </row>
    <row r="61" spans="1:9" s="117" customFormat="1">
      <c r="A61" s="55" t="s">
        <v>746</v>
      </c>
      <c r="B61" s="55" t="s">
        <v>758</v>
      </c>
      <c r="C61" s="144" t="s">
        <v>110</v>
      </c>
      <c r="D61" s="156">
        <v>26078</v>
      </c>
      <c r="E61" s="144" t="s">
        <v>210</v>
      </c>
      <c r="F61" s="144"/>
      <c r="G61" s="150" t="s">
        <v>736</v>
      </c>
      <c r="H61" s="158" t="s">
        <v>212</v>
      </c>
    </row>
    <row r="62" spans="1:9" s="117" customFormat="1">
      <c r="A62" s="239" t="s">
        <v>738</v>
      </c>
      <c r="B62" s="239" t="s">
        <v>759</v>
      </c>
      <c r="C62" s="144" t="s">
        <v>110</v>
      </c>
      <c r="D62" s="156">
        <v>27730</v>
      </c>
      <c r="E62" s="144" t="s">
        <v>210</v>
      </c>
      <c r="F62" s="144"/>
      <c r="G62" s="150" t="s">
        <v>736</v>
      </c>
      <c r="H62" s="158" t="s">
        <v>212</v>
      </c>
    </row>
    <row r="63" spans="1:9" s="117" customFormat="1">
      <c r="A63" s="239" t="s">
        <v>738</v>
      </c>
      <c r="B63" s="239">
        <v>348</v>
      </c>
      <c r="C63" s="260" t="s">
        <v>782</v>
      </c>
      <c r="D63" s="156">
        <v>1345</v>
      </c>
      <c r="E63" s="144" t="s">
        <v>210</v>
      </c>
      <c r="F63" s="144"/>
      <c r="G63" s="261" t="s">
        <v>783</v>
      </c>
      <c r="H63" s="158" t="s">
        <v>212</v>
      </c>
    </row>
    <row r="64" spans="1:9" s="117" customFormat="1">
      <c r="A64" s="55" t="s">
        <v>740</v>
      </c>
      <c r="B64" s="144"/>
      <c r="C64" s="229" t="s">
        <v>741</v>
      </c>
      <c r="D64" s="156">
        <v>230</v>
      </c>
      <c r="E64" s="144" t="s">
        <v>742</v>
      </c>
      <c r="F64" s="144"/>
      <c r="G64" s="55" t="s">
        <v>740</v>
      </c>
      <c r="H64" s="158" t="s">
        <v>212</v>
      </c>
    </row>
    <row r="65" spans="1:8" s="117" customFormat="1">
      <c r="A65" s="55" t="s">
        <v>743</v>
      </c>
      <c r="B65" s="144"/>
      <c r="C65" s="229" t="s">
        <v>744</v>
      </c>
      <c r="D65" s="156">
        <v>150</v>
      </c>
      <c r="E65" s="144" t="s">
        <v>742</v>
      </c>
      <c r="F65" s="144"/>
      <c r="G65" s="55" t="s">
        <v>743</v>
      </c>
      <c r="H65" s="158" t="s">
        <v>212</v>
      </c>
    </row>
    <row r="66" spans="1:8" ht="15.5" customHeight="1">
      <c r="A66" s="109" t="s">
        <v>743</v>
      </c>
      <c r="B66" s="230">
        <v>10064642264</v>
      </c>
      <c r="C66" s="109" t="s">
        <v>247</v>
      </c>
      <c r="D66" s="16">
        <v>1870</v>
      </c>
    </row>
    <row r="67" spans="1:8" ht="15.5" customHeight="1">
      <c r="A67" s="109" t="s">
        <v>743</v>
      </c>
      <c r="B67" s="53">
        <v>10064642244</v>
      </c>
      <c r="C67" s="109" t="s">
        <v>248</v>
      </c>
      <c r="D67" s="16">
        <v>174</v>
      </c>
    </row>
    <row r="68" spans="1:8">
      <c r="A68" s="109" t="s">
        <v>743</v>
      </c>
      <c r="B68" s="53">
        <v>10064642265</v>
      </c>
      <c r="C68" s="109" t="s">
        <v>249</v>
      </c>
      <c r="D68" s="16">
        <v>261</v>
      </c>
    </row>
    <row r="69" spans="1:8">
      <c r="A69" s="109" t="s">
        <v>743</v>
      </c>
      <c r="B69" s="53">
        <v>6981</v>
      </c>
      <c r="C69" s="53" t="s">
        <v>745</v>
      </c>
      <c r="D69" s="16">
        <v>657</v>
      </c>
    </row>
    <row r="70" spans="1:8">
      <c r="A70" s="140" t="s">
        <v>750</v>
      </c>
      <c r="B70" s="116" t="s">
        <v>751</v>
      </c>
      <c r="C70" s="116" t="s">
        <v>245</v>
      </c>
      <c r="D70" s="16">
        <v>59883</v>
      </c>
    </row>
    <row r="71" spans="1:8">
      <c r="A71" s="236" t="s">
        <v>749</v>
      </c>
      <c r="B71" s="237" t="s">
        <v>753</v>
      </c>
      <c r="C71" s="132" t="s">
        <v>223</v>
      </c>
      <c r="D71" s="16">
        <v>22650</v>
      </c>
    </row>
    <row r="72" spans="1:8" s="117" customFormat="1">
      <c r="A72" s="241" t="s">
        <v>749</v>
      </c>
      <c r="B72" s="144">
        <v>872</v>
      </c>
      <c r="C72" s="144" t="s">
        <v>747</v>
      </c>
      <c r="D72" s="156">
        <v>28497</v>
      </c>
      <c r="E72" s="144" t="s">
        <v>210</v>
      </c>
      <c r="F72" s="144"/>
      <c r="G72" s="242" t="s">
        <v>754</v>
      </c>
      <c r="H72" s="243" t="s">
        <v>212</v>
      </c>
    </row>
    <row r="73" spans="1:8">
      <c r="A73" s="258" t="s">
        <v>780</v>
      </c>
      <c r="B73" s="259" t="s">
        <v>781</v>
      </c>
      <c r="C73" s="132" t="s">
        <v>226</v>
      </c>
      <c r="D73" s="16">
        <v>4602</v>
      </c>
      <c r="E73" s="163" t="s">
        <v>227</v>
      </c>
      <c r="G73" s="164">
        <v>45878</v>
      </c>
    </row>
    <row r="74" spans="1:8">
      <c r="A74" s="140">
        <v>45876</v>
      </c>
      <c r="B74" s="116" t="s">
        <v>784</v>
      </c>
      <c r="C74" s="132" t="s">
        <v>223</v>
      </c>
      <c r="D74" s="16">
        <v>49524.6</v>
      </c>
    </row>
    <row r="75" spans="1:8">
      <c r="A75" s="140" t="s">
        <v>786</v>
      </c>
      <c r="B75" s="116" t="s">
        <v>785</v>
      </c>
      <c r="C75" s="132" t="s">
        <v>223</v>
      </c>
      <c r="D75" s="16">
        <v>33883</v>
      </c>
    </row>
  </sheetData>
  <autoFilter ref="A1:I72" xr:uid="{00000000-0009-0000-0000-000003000000}"/>
  <phoneticPr fontId="28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filterMode="1"/>
  <dimension ref="A1:O98"/>
  <sheetViews>
    <sheetView workbookViewId="0">
      <pane ySplit="1" topLeftCell="A2" activePane="bottomLeft" state="frozen"/>
      <selection pane="bottomLeft" activeCell="A12" sqref="A12"/>
    </sheetView>
  </sheetViews>
  <sheetFormatPr defaultColWidth="8.7265625" defaultRowHeight="14.5"/>
  <cols>
    <col min="1" max="1" width="11.54296875" style="31" customWidth="1"/>
    <col min="2" max="2" width="19.26953125" style="31" customWidth="1"/>
    <col min="3" max="3" width="39.1796875" style="31" customWidth="1"/>
    <col min="4" max="7" width="17.36328125" style="31" customWidth="1"/>
    <col min="8" max="8" width="17.36328125" style="118" customWidth="1"/>
    <col min="9" max="9" width="14.36328125" style="31" customWidth="1"/>
    <col min="10" max="10" width="19.7265625" style="31" customWidth="1"/>
    <col min="11" max="11" width="13.26953125" style="31" customWidth="1"/>
    <col min="12" max="12" width="14.81640625" style="1" customWidth="1"/>
    <col min="13" max="13" width="14.6328125" style="1" customWidth="1"/>
    <col min="14" max="14" width="10.26953125" style="31" customWidth="1"/>
    <col min="15" max="15" width="13" style="31" customWidth="1"/>
    <col min="16" max="16384" width="8.7265625" style="31"/>
  </cols>
  <sheetData>
    <row r="1" spans="1:15" s="115" customFormat="1" ht="42">
      <c r="A1" s="119" t="s">
        <v>193</v>
      </c>
      <c r="B1" s="120" t="s">
        <v>194</v>
      </c>
      <c r="C1" s="120" t="s">
        <v>204</v>
      </c>
      <c r="D1" s="121" t="s">
        <v>311</v>
      </c>
      <c r="E1" s="121" t="s">
        <v>312</v>
      </c>
      <c r="F1" s="121" t="s">
        <v>313</v>
      </c>
      <c r="G1" s="121" t="s">
        <v>314</v>
      </c>
      <c r="H1" s="122" t="s">
        <v>315</v>
      </c>
      <c r="I1" s="120" t="s">
        <v>205</v>
      </c>
      <c r="J1" s="119" t="s">
        <v>207</v>
      </c>
      <c r="K1" s="120" t="s">
        <v>208</v>
      </c>
    </row>
    <row r="2" spans="1:15" ht="21" hidden="1">
      <c r="A2" s="123">
        <v>45406</v>
      </c>
      <c r="B2" s="124"/>
      <c r="C2" s="124"/>
      <c r="D2" s="124"/>
      <c r="E2" s="124"/>
      <c r="F2" s="124"/>
      <c r="G2" s="124"/>
      <c r="H2" s="124"/>
      <c r="I2" s="124"/>
      <c r="J2" s="124"/>
      <c r="K2" s="124"/>
      <c r="L2" s="133"/>
      <c r="M2" s="133"/>
      <c r="N2" s="124"/>
      <c r="O2" s="124"/>
    </row>
    <row r="3" spans="1:15" ht="29" hidden="1">
      <c r="A3" s="125">
        <v>45600</v>
      </c>
      <c r="B3" s="26" t="s">
        <v>316</v>
      </c>
      <c r="C3" s="26"/>
      <c r="D3" s="30" t="s">
        <v>66</v>
      </c>
      <c r="E3" s="30"/>
      <c r="F3" s="30"/>
      <c r="G3" s="30"/>
      <c r="H3" s="30"/>
      <c r="I3" s="12" t="s">
        <v>317</v>
      </c>
      <c r="J3" s="12">
        <v>340</v>
      </c>
      <c r="K3" s="12">
        <f>340*15</f>
        <v>5100</v>
      </c>
      <c r="L3" s="134" t="s">
        <v>110</v>
      </c>
      <c r="N3" s="26"/>
      <c r="O3" s="26"/>
    </row>
    <row r="4" spans="1:15" hidden="1">
      <c r="A4" s="281" t="s">
        <v>318</v>
      </c>
      <c r="B4" s="283" t="s">
        <v>319</v>
      </c>
      <c r="C4" s="26"/>
      <c r="D4" s="12" t="s">
        <v>34</v>
      </c>
      <c r="E4" s="12"/>
      <c r="F4" s="12"/>
      <c r="G4" s="12"/>
      <c r="H4" s="12"/>
      <c r="I4" s="12">
        <v>30</v>
      </c>
      <c r="J4" s="12">
        <v>445</v>
      </c>
      <c r="K4" s="12">
        <f t="shared" ref="K4:K6" si="0">I4*J4</f>
        <v>13350</v>
      </c>
      <c r="L4" s="12"/>
      <c r="M4" s="12"/>
      <c r="N4" s="26"/>
      <c r="O4" s="26"/>
    </row>
    <row r="5" spans="1:15" hidden="1">
      <c r="A5" s="282"/>
      <c r="B5" s="284"/>
      <c r="C5" s="26"/>
      <c r="D5" s="12" t="s">
        <v>320</v>
      </c>
      <c r="E5" s="12"/>
      <c r="F5" s="12"/>
      <c r="G5" s="12"/>
      <c r="H5" s="12"/>
      <c r="I5" s="12">
        <v>2</v>
      </c>
      <c r="J5" s="12">
        <v>2950</v>
      </c>
      <c r="K5" s="12">
        <f t="shared" si="0"/>
        <v>5900</v>
      </c>
      <c r="L5" s="12"/>
      <c r="M5" s="12"/>
      <c r="N5" s="26"/>
      <c r="O5" s="26"/>
    </row>
    <row r="6" spans="1:15" ht="43.5" hidden="1">
      <c r="A6" t="s">
        <v>318</v>
      </c>
      <c r="B6" s="26" t="s">
        <v>321</v>
      </c>
      <c r="C6" s="12">
        <v>716663</v>
      </c>
      <c r="D6" s="12" t="s">
        <v>322</v>
      </c>
      <c r="E6" s="12"/>
      <c r="F6" s="12"/>
      <c r="G6" s="12"/>
      <c r="H6" s="12"/>
      <c r="I6" s="12">
        <v>2</v>
      </c>
      <c r="J6" s="12">
        <v>750</v>
      </c>
      <c r="K6" s="12">
        <f t="shared" si="0"/>
        <v>1500</v>
      </c>
      <c r="L6" s="12"/>
      <c r="M6" s="12"/>
      <c r="N6" s="26"/>
      <c r="O6" s="26"/>
    </row>
    <row r="7" spans="1:15" ht="43.5" hidden="1">
      <c r="A7" s="26"/>
      <c r="B7" s="26"/>
      <c r="C7" s="127">
        <v>663094</v>
      </c>
      <c r="D7" s="12" t="s">
        <v>323</v>
      </c>
      <c r="E7" s="12"/>
      <c r="F7" s="12"/>
      <c r="G7" s="12"/>
      <c r="H7" s="12"/>
      <c r="I7" s="12">
        <v>1</v>
      </c>
      <c r="J7" s="12">
        <v>5400</v>
      </c>
      <c r="K7" s="12">
        <f t="shared" ref="K7:K9" si="1">I7*J7</f>
        <v>5400</v>
      </c>
      <c r="L7" s="12"/>
      <c r="M7" s="12"/>
      <c r="N7" s="26"/>
      <c r="O7" s="26"/>
    </row>
    <row r="8" spans="1:15" ht="43.5" hidden="1">
      <c r="A8" s="26"/>
      <c r="B8" s="26"/>
      <c r="C8" s="12">
        <v>632215</v>
      </c>
      <c r="D8" s="12" t="s">
        <v>324</v>
      </c>
      <c r="E8" s="12"/>
      <c r="F8" s="12"/>
      <c r="G8" s="12"/>
      <c r="H8" s="12"/>
      <c r="I8" s="12">
        <v>10</v>
      </c>
      <c r="J8" s="12">
        <v>2270</v>
      </c>
      <c r="K8" s="12">
        <f t="shared" si="1"/>
        <v>22700</v>
      </c>
      <c r="L8" s="12"/>
      <c r="M8" s="12"/>
      <c r="N8" s="26"/>
      <c r="O8" s="26"/>
    </row>
    <row r="9" spans="1:15" ht="43.5" hidden="1">
      <c r="A9" s="31" t="s">
        <v>325</v>
      </c>
      <c r="B9" s="26" t="s">
        <v>326</v>
      </c>
      <c r="C9" s="26"/>
      <c r="D9" s="128" t="s">
        <v>327</v>
      </c>
      <c r="E9" s="128"/>
      <c r="F9" s="128"/>
      <c r="G9" s="128"/>
      <c r="H9" s="128"/>
      <c r="I9" s="12">
        <v>10</v>
      </c>
      <c r="J9" s="12">
        <v>210</v>
      </c>
      <c r="K9" s="12">
        <f t="shared" si="1"/>
        <v>2100</v>
      </c>
      <c r="L9" s="12"/>
      <c r="M9" s="12"/>
      <c r="N9" s="26"/>
      <c r="O9" s="26"/>
    </row>
    <row r="10" spans="1:15" ht="21">
      <c r="A10" s="123" t="s">
        <v>328</v>
      </c>
      <c r="B10" s="26"/>
      <c r="C10" s="26"/>
      <c r="D10" s="30"/>
      <c r="E10" s="30"/>
      <c r="F10" s="30"/>
      <c r="G10" s="30"/>
      <c r="H10" s="129"/>
      <c r="I10" s="12"/>
      <c r="J10" s="12"/>
      <c r="K10" s="12"/>
      <c r="L10" s="12"/>
      <c r="M10" s="12"/>
      <c r="N10" s="26"/>
      <c r="O10" s="26"/>
    </row>
    <row r="11" spans="1:15">
      <c r="A11" s="130">
        <v>45904</v>
      </c>
      <c r="B11" s="26" t="s">
        <v>329</v>
      </c>
      <c r="C11" s="131" t="s">
        <v>280</v>
      </c>
      <c r="D11" s="30">
        <v>660</v>
      </c>
      <c r="E11" s="30"/>
      <c r="F11" s="30"/>
      <c r="G11" s="30"/>
      <c r="H11" s="131">
        <f>D11+E11+F11+G11</f>
        <v>660</v>
      </c>
      <c r="I11" s="12" t="s">
        <v>330</v>
      </c>
      <c r="J11" s="135">
        <v>45904</v>
      </c>
      <c r="K11" s="12"/>
      <c r="L11" s="12"/>
      <c r="M11" s="12"/>
      <c r="N11" s="26"/>
      <c r="O11" s="26"/>
    </row>
    <row r="12" spans="1:15">
      <c r="A12" s="132"/>
      <c r="B12" s="26"/>
      <c r="C12" s="26"/>
      <c r="D12" s="30"/>
      <c r="E12" s="30"/>
      <c r="F12" s="30"/>
      <c r="G12" s="30"/>
      <c r="H12" s="131">
        <f t="shared" ref="H12:H69" si="2">D12+E12+F12+G12</f>
        <v>0</v>
      </c>
      <c r="I12" s="12"/>
      <c r="J12" s="12"/>
      <c r="K12" s="12"/>
      <c r="L12" s="12"/>
      <c r="M12" s="12"/>
      <c r="N12" s="26"/>
      <c r="O12" s="26"/>
    </row>
    <row r="13" spans="1:15">
      <c r="A13" s="132"/>
      <c r="B13" s="26"/>
      <c r="C13" s="26"/>
      <c r="D13" s="30"/>
      <c r="E13" s="30"/>
      <c r="F13" s="30"/>
      <c r="G13" s="30"/>
      <c r="H13" s="131">
        <f t="shared" si="2"/>
        <v>0</v>
      </c>
      <c r="I13" s="12"/>
      <c r="J13" s="12"/>
      <c r="K13" s="12"/>
      <c r="L13" s="12"/>
      <c r="M13" s="12"/>
      <c r="N13" s="26"/>
      <c r="O13" s="26"/>
    </row>
    <row r="14" spans="1:15">
      <c r="A14" s="132"/>
      <c r="B14" s="26"/>
      <c r="C14" s="26"/>
      <c r="D14" s="30"/>
      <c r="E14" s="30"/>
      <c r="F14" s="30"/>
      <c r="G14" s="30"/>
      <c r="H14" s="131">
        <f t="shared" si="2"/>
        <v>0</v>
      </c>
      <c r="I14" s="12"/>
      <c r="J14" s="12"/>
      <c r="K14" s="12"/>
      <c r="L14" s="12"/>
      <c r="M14" s="12"/>
      <c r="N14" s="26"/>
      <c r="O14" s="26"/>
    </row>
    <row r="15" spans="1:15">
      <c r="A15" s="132"/>
      <c r="B15" s="26"/>
      <c r="C15" s="26"/>
      <c r="D15" s="30"/>
      <c r="E15" s="30"/>
      <c r="F15" s="30"/>
      <c r="G15" s="30"/>
      <c r="H15" s="131">
        <f t="shared" si="2"/>
        <v>0</v>
      </c>
      <c r="I15" s="12"/>
      <c r="J15" s="12"/>
      <c r="K15" s="12"/>
      <c r="L15" s="12"/>
      <c r="M15" s="12"/>
      <c r="N15" s="26"/>
      <c r="O15" s="26"/>
    </row>
    <row r="16" spans="1:15">
      <c r="A16" s="26"/>
      <c r="B16" s="26"/>
      <c r="C16" s="26"/>
      <c r="D16" s="12"/>
      <c r="E16" s="12"/>
      <c r="F16" s="12"/>
      <c r="G16" s="12"/>
      <c r="H16" s="131">
        <f t="shared" si="2"/>
        <v>0</v>
      </c>
      <c r="I16" s="12"/>
      <c r="J16" s="12"/>
      <c r="K16" s="12"/>
      <c r="M16" s="12"/>
      <c r="N16" s="26"/>
      <c r="O16" s="26"/>
    </row>
    <row r="17" spans="1:15" ht="21">
      <c r="A17" s="123" t="s">
        <v>331</v>
      </c>
      <c r="B17" s="26"/>
      <c r="C17" s="26"/>
      <c r="D17" s="26"/>
      <c r="E17" s="26"/>
      <c r="F17" s="26"/>
      <c r="G17" s="26"/>
      <c r="H17" s="131">
        <f t="shared" si="2"/>
        <v>0</v>
      </c>
      <c r="I17" s="26"/>
      <c r="J17" s="26"/>
      <c r="K17" s="26"/>
      <c r="L17" s="12"/>
      <c r="M17" s="12"/>
      <c r="N17" s="26"/>
      <c r="O17" s="26"/>
    </row>
    <row r="18" spans="1:15">
      <c r="A18" s="26"/>
      <c r="B18" s="26"/>
      <c r="C18" s="26"/>
      <c r="D18" s="26"/>
      <c r="E18" s="26"/>
      <c r="F18" s="26"/>
      <c r="G18" s="26"/>
      <c r="H18" s="131">
        <f t="shared" si="2"/>
        <v>0</v>
      </c>
      <c r="I18" s="26"/>
      <c r="J18" s="26"/>
      <c r="K18" s="26"/>
      <c r="L18" s="12"/>
      <c r="M18" s="12"/>
      <c r="N18" s="26"/>
      <c r="O18" s="26"/>
    </row>
    <row r="19" spans="1:15">
      <c r="A19" s="26"/>
      <c r="B19" s="26"/>
      <c r="C19" s="26"/>
      <c r="D19" s="26"/>
      <c r="E19" s="26"/>
      <c r="F19" s="26"/>
      <c r="G19" s="26"/>
      <c r="H19" s="131">
        <f t="shared" si="2"/>
        <v>0</v>
      </c>
      <c r="I19" s="26"/>
      <c r="J19" s="26"/>
      <c r="K19" s="26"/>
      <c r="L19" s="12"/>
      <c r="M19" s="12"/>
      <c r="N19" s="26"/>
      <c r="O19" s="26"/>
    </row>
    <row r="20" spans="1:15">
      <c r="A20" s="26"/>
      <c r="B20" s="26"/>
      <c r="C20" s="26"/>
      <c r="D20" s="26"/>
      <c r="E20" s="26"/>
      <c r="F20" s="26"/>
      <c r="G20" s="26"/>
      <c r="H20" s="131">
        <f t="shared" si="2"/>
        <v>0</v>
      </c>
      <c r="I20" s="26"/>
      <c r="J20" s="26"/>
      <c r="K20" s="26"/>
      <c r="L20" s="12"/>
      <c r="M20" s="12"/>
      <c r="N20" s="26"/>
      <c r="O20" s="26"/>
    </row>
    <row r="21" spans="1:15">
      <c r="A21" s="26"/>
      <c r="B21" s="26"/>
      <c r="C21" s="26"/>
      <c r="D21" s="26"/>
      <c r="E21" s="26"/>
      <c r="F21" s="26"/>
      <c r="G21" s="26"/>
      <c r="H21" s="131">
        <f t="shared" si="2"/>
        <v>0</v>
      </c>
      <c r="I21" s="26"/>
      <c r="J21" s="26"/>
      <c r="K21" s="26"/>
      <c r="L21" s="12"/>
      <c r="M21" s="12"/>
      <c r="N21" s="26"/>
      <c r="O21" s="26"/>
    </row>
    <row r="22" spans="1:15">
      <c r="A22" s="26"/>
      <c r="B22" s="26"/>
      <c r="C22" s="26"/>
      <c r="D22" s="26"/>
      <c r="E22" s="26"/>
      <c r="F22" s="26"/>
      <c r="G22" s="26"/>
      <c r="H22" s="131">
        <f t="shared" si="2"/>
        <v>0</v>
      </c>
      <c r="I22" s="26"/>
      <c r="J22" s="26"/>
      <c r="K22" s="26"/>
      <c r="L22" s="12"/>
      <c r="M22" s="12"/>
      <c r="N22" s="26"/>
      <c r="O22" s="26"/>
    </row>
    <row r="23" spans="1:15">
      <c r="A23" s="26"/>
      <c r="B23" s="26"/>
      <c r="C23" s="26"/>
      <c r="D23" s="26"/>
      <c r="E23" s="26"/>
      <c r="F23" s="26"/>
      <c r="G23" s="26"/>
      <c r="H23" s="131">
        <f t="shared" si="2"/>
        <v>0</v>
      </c>
      <c r="I23" s="26"/>
      <c r="J23" s="26"/>
      <c r="K23" s="26"/>
      <c r="L23" s="12"/>
      <c r="M23" s="12"/>
      <c r="N23" s="26"/>
      <c r="O23" s="26"/>
    </row>
    <row r="24" spans="1:15">
      <c r="A24" s="26"/>
      <c r="B24" s="26"/>
      <c r="C24" s="26"/>
      <c r="D24" s="26"/>
      <c r="E24" s="26"/>
      <c r="F24" s="26"/>
      <c r="G24" s="26"/>
      <c r="H24" s="131">
        <f t="shared" si="2"/>
        <v>0</v>
      </c>
      <c r="I24" s="26"/>
      <c r="J24" s="26"/>
      <c r="K24" s="26"/>
      <c r="L24" s="12"/>
      <c r="M24" s="12"/>
      <c r="N24" s="26"/>
      <c r="O24" s="26"/>
    </row>
    <row r="25" spans="1:15" ht="21">
      <c r="A25" s="123">
        <v>45467</v>
      </c>
      <c r="B25" s="26"/>
      <c r="C25" s="26"/>
      <c r="D25" s="26"/>
      <c r="E25" s="26"/>
      <c r="F25" s="26"/>
      <c r="G25" s="26"/>
      <c r="H25" s="131">
        <f t="shared" si="2"/>
        <v>0</v>
      </c>
      <c r="I25" s="26"/>
      <c r="J25" s="26"/>
      <c r="K25" s="26"/>
      <c r="L25" s="12"/>
      <c r="M25" s="12"/>
      <c r="N25" s="26"/>
      <c r="O25" s="26"/>
    </row>
    <row r="26" spans="1:15">
      <c r="A26" s="26"/>
      <c r="B26" s="26"/>
      <c r="C26" s="26"/>
      <c r="D26" s="26"/>
      <c r="E26" s="26"/>
      <c r="F26" s="26"/>
      <c r="G26" s="26"/>
      <c r="H26" s="131">
        <f t="shared" si="2"/>
        <v>0</v>
      </c>
      <c r="I26" s="26"/>
      <c r="J26" s="26"/>
      <c r="K26" s="26"/>
      <c r="L26" s="12"/>
      <c r="M26" s="12"/>
      <c r="N26" s="26"/>
      <c r="O26" s="26"/>
    </row>
    <row r="27" spans="1:15">
      <c r="A27" s="26"/>
      <c r="B27" s="26"/>
      <c r="C27" s="26"/>
      <c r="D27" s="26"/>
      <c r="E27" s="26"/>
      <c r="F27" s="26"/>
      <c r="G27" s="26"/>
      <c r="H27" s="131">
        <f t="shared" si="2"/>
        <v>0</v>
      </c>
      <c r="I27" s="26"/>
      <c r="J27" s="26"/>
      <c r="K27" s="26"/>
      <c r="L27" s="12"/>
      <c r="M27" s="12"/>
      <c r="N27" s="26"/>
      <c r="O27" s="26"/>
    </row>
    <row r="28" spans="1:15">
      <c r="A28" s="26"/>
      <c r="B28" s="26"/>
      <c r="C28" s="26"/>
      <c r="D28" s="26"/>
      <c r="E28" s="26"/>
      <c r="F28" s="26"/>
      <c r="G28" s="26"/>
      <c r="H28" s="131">
        <f t="shared" si="2"/>
        <v>0</v>
      </c>
      <c r="I28" s="26"/>
      <c r="J28" s="26"/>
      <c r="K28" s="26"/>
      <c r="L28" s="12"/>
      <c r="M28" s="12"/>
      <c r="N28" s="26"/>
      <c r="O28" s="26"/>
    </row>
    <row r="29" spans="1:15">
      <c r="A29" s="26"/>
      <c r="B29" s="26"/>
      <c r="C29" s="26"/>
      <c r="D29" s="26"/>
      <c r="E29" s="26"/>
      <c r="F29" s="26"/>
      <c r="G29" s="26"/>
      <c r="H29" s="131">
        <f t="shared" si="2"/>
        <v>0</v>
      </c>
      <c r="I29" s="26"/>
      <c r="J29" s="26"/>
      <c r="K29" s="26"/>
      <c r="L29" s="12"/>
      <c r="M29" s="12"/>
      <c r="N29" s="26"/>
      <c r="O29" s="26"/>
    </row>
    <row r="30" spans="1:15">
      <c r="A30" s="26"/>
      <c r="B30" s="26"/>
      <c r="C30" s="26"/>
      <c r="D30" s="26"/>
      <c r="E30" s="26"/>
      <c r="F30" s="26"/>
      <c r="G30" s="26"/>
      <c r="H30" s="131">
        <f t="shared" si="2"/>
        <v>0</v>
      </c>
      <c r="I30" s="26"/>
      <c r="J30" s="26"/>
      <c r="K30" s="26"/>
      <c r="L30" s="12"/>
      <c r="M30" s="12"/>
      <c r="N30" s="26"/>
      <c r="O30" s="26"/>
    </row>
    <row r="31" spans="1:15">
      <c r="A31" s="26"/>
      <c r="B31" s="26"/>
      <c r="C31" s="26"/>
      <c r="D31" s="26"/>
      <c r="E31" s="26"/>
      <c r="F31" s="26"/>
      <c r="G31" s="26"/>
      <c r="H31" s="131">
        <f t="shared" si="2"/>
        <v>0</v>
      </c>
      <c r="I31" s="26"/>
      <c r="J31" s="26"/>
      <c r="K31" s="26"/>
      <c r="L31" s="12"/>
      <c r="M31" s="12"/>
      <c r="N31" s="26"/>
      <c r="O31" s="26"/>
    </row>
    <row r="32" spans="1:15">
      <c r="A32" s="26"/>
      <c r="B32" s="26"/>
      <c r="C32" s="26"/>
      <c r="D32" s="26"/>
      <c r="E32" s="26"/>
      <c r="F32" s="26"/>
      <c r="G32" s="26"/>
      <c r="H32" s="131">
        <f t="shared" si="2"/>
        <v>0</v>
      </c>
      <c r="I32" s="26"/>
      <c r="J32" s="26"/>
      <c r="K32" s="26"/>
      <c r="L32" s="12"/>
      <c r="M32" s="12"/>
      <c r="N32" s="26"/>
      <c r="O32" s="26"/>
    </row>
    <row r="33" spans="1:15">
      <c r="A33" s="26"/>
      <c r="B33" s="26"/>
      <c r="C33" s="26"/>
      <c r="D33" s="26"/>
      <c r="E33" s="26"/>
      <c r="F33" s="26"/>
      <c r="G33" s="26"/>
      <c r="H33" s="131">
        <f t="shared" si="2"/>
        <v>0</v>
      </c>
      <c r="I33" s="26"/>
      <c r="J33" s="26"/>
      <c r="K33" s="26"/>
      <c r="L33" s="12"/>
      <c r="M33" s="12"/>
      <c r="N33" s="26"/>
      <c r="O33" s="26"/>
    </row>
    <row r="34" spans="1:15" ht="21">
      <c r="A34" s="123">
        <v>45497</v>
      </c>
      <c r="B34" s="26"/>
      <c r="C34" s="26"/>
      <c r="D34" s="26"/>
      <c r="E34" s="26"/>
      <c r="F34" s="26"/>
      <c r="G34" s="26"/>
      <c r="H34" s="131">
        <f t="shared" si="2"/>
        <v>0</v>
      </c>
      <c r="I34" s="26"/>
      <c r="J34" s="26"/>
      <c r="K34" s="26"/>
      <c r="L34" s="12"/>
      <c r="M34" s="12"/>
      <c r="N34" s="26"/>
      <c r="O34" s="26"/>
    </row>
    <row r="35" spans="1:15">
      <c r="A35" s="26"/>
      <c r="B35" s="26"/>
      <c r="C35" s="26"/>
      <c r="D35" s="26"/>
      <c r="E35" s="26"/>
      <c r="F35" s="26"/>
      <c r="G35" s="26"/>
      <c r="H35" s="131">
        <f t="shared" si="2"/>
        <v>0</v>
      </c>
      <c r="I35" s="26"/>
      <c r="J35" s="26"/>
      <c r="K35" s="26"/>
      <c r="L35" s="12"/>
      <c r="M35" s="12"/>
      <c r="N35" s="26"/>
      <c r="O35" s="26"/>
    </row>
    <row r="36" spans="1:15">
      <c r="A36" s="26"/>
      <c r="B36" s="26"/>
      <c r="C36" s="26"/>
      <c r="D36" s="26"/>
      <c r="E36" s="26"/>
      <c r="F36" s="26"/>
      <c r="G36" s="26"/>
      <c r="H36" s="131">
        <f t="shared" si="2"/>
        <v>0</v>
      </c>
      <c r="I36" s="26"/>
      <c r="J36" s="26"/>
      <c r="K36" s="26"/>
      <c r="L36" s="12"/>
      <c r="M36" s="12"/>
      <c r="N36" s="26"/>
      <c r="O36" s="26"/>
    </row>
    <row r="37" spans="1:15">
      <c r="A37" s="26"/>
      <c r="B37" s="26"/>
      <c r="C37" s="26"/>
      <c r="D37" s="26"/>
      <c r="E37" s="26"/>
      <c r="F37" s="26"/>
      <c r="G37" s="26"/>
      <c r="H37" s="131">
        <f t="shared" si="2"/>
        <v>0</v>
      </c>
      <c r="I37" s="26"/>
      <c r="J37" s="26"/>
      <c r="K37" s="26"/>
      <c r="L37" s="12"/>
      <c r="M37" s="12"/>
      <c r="N37" s="26"/>
      <c r="O37" s="26"/>
    </row>
    <row r="38" spans="1:15">
      <c r="A38" s="26"/>
      <c r="B38" s="26"/>
      <c r="C38" s="26"/>
      <c r="D38" s="26"/>
      <c r="E38" s="26"/>
      <c r="F38" s="26"/>
      <c r="G38" s="26"/>
      <c r="H38" s="131">
        <f t="shared" si="2"/>
        <v>0</v>
      </c>
      <c r="I38" s="26"/>
      <c r="J38" s="26"/>
      <c r="K38" s="26"/>
      <c r="L38" s="12"/>
      <c r="M38" s="12"/>
      <c r="N38" s="26"/>
      <c r="O38" s="26"/>
    </row>
    <row r="39" spans="1:15">
      <c r="A39" s="26"/>
      <c r="B39" s="26"/>
      <c r="C39" s="26"/>
      <c r="D39" s="26"/>
      <c r="E39" s="26"/>
      <c r="F39" s="26"/>
      <c r="G39" s="26"/>
      <c r="H39" s="131">
        <f t="shared" si="2"/>
        <v>0</v>
      </c>
      <c r="I39" s="26"/>
      <c r="J39" s="26"/>
      <c r="K39" s="26"/>
      <c r="L39" s="12"/>
      <c r="M39" s="12"/>
      <c r="N39" s="26"/>
      <c r="O39" s="26"/>
    </row>
    <row r="40" spans="1:15">
      <c r="A40" s="26"/>
      <c r="B40" s="26"/>
      <c r="C40" s="26"/>
      <c r="D40" s="26"/>
      <c r="E40" s="26"/>
      <c r="F40" s="26"/>
      <c r="G40" s="26"/>
      <c r="H40" s="131">
        <f t="shared" si="2"/>
        <v>0</v>
      </c>
      <c r="I40" s="26"/>
      <c r="J40" s="26"/>
      <c r="K40" s="26"/>
      <c r="L40" s="12"/>
      <c r="M40" s="12"/>
      <c r="N40" s="26"/>
      <c r="O40" s="26"/>
    </row>
    <row r="41" spans="1:15">
      <c r="A41" s="26"/>
      <c r="B41" s="26"/>
      <c r="C41" s="26"/>
      <c r="D41" s="26"/>
      <c r="E41" s="26"/>
      <c r="F41" s="26"/>
      <c r="G41" s="26"/>
      <c r="H41" s="131">
        <f t="shared" si="2"/>
        <v>0</v>
      </c>
      <c r="I41" s="26"/>
      <c r="J41" s="26"/>
      <c r="K41" s="26"/>
      <c r="L41" s="12"/>
      <c r="M41" s="12"/>
      <c r="N41" s="26"/>
      <c r="O41" s="26"/>
    </row>
    <row r="42" spans="1:15" ht="21">
      <c r="A42" s="123">
        <v>45528</v>
      </c>
      <c r="B42" s="26"/>
      <c r="C42" s="26"/>
      <c r="D42" s="26"/>
      <c r="E42" s="26"/>
      <c r="F42" s="26"/>
      <c r="G42" s="26"/>
      <c r="H42" s="131">
        <f t="shared" si="2"/>
        <v>0</v>
      </c>
      <c r="I42" s="26"/>
      <c r="J42" s="26"/>
      <c r="K42" s="26"/>
      <c r="L42" s="12"/>
      <c r="M42" s="12"/>
      <c r="N42" s="26"/>
      <c r="O42" s="26"/>
    </row>
    <row r="43" spans="1:15">
      <c r="A43" s="26"/>
      <c r="B43" s="26"/>
      <c r="C43" s="26"/>
      <c r="D43" s="26"/>
      <c r="E43" s="26"/>
      <c r="F43" s="26"/>
      <c r="G43" s="26"/>
      <c r="H43" s="131">
        <f t="shared" si="2"/>
        <v>0</v>
      </c>
      <c r="I43" s="26"/>
      <c r="J43" s="26"/>
      <c r="K43" s="26"/>
      <c r="L43" s="12"/>
      <c r="M43" s="12"/>
      <c r="N43" s="26"/>
      <c r="O43" s="26"/>
    </row>
    <row r="44" spans="1:15">
      <c r="A44" s="26"/>
      <c r="B44" s="26"/>
      <c r="C44" s="26"/>
      <c r="D44" s="26"/>
      <c r="E44" s="26"/>
      <c r="F44" s="26"/>
      <c r="G44" s="26"/>
      <c r="H44" s="131">
        <f t="shared" si="2"/>
        <v>0</v>
      </c>
      <c r="I44" s="26"/>
      <c r="J44" s="26"/>
      <c r="K44" s="26"/>
      <c r="L44" s="12"/>
      <c r="M44" s="12"/>
      <c r="N44" s="26"/>
      <c r="O44" s="26"/>
    </row>
    <row r="45" spans="1:15">
      <c r="A45" s="26"/>
      <c r="B45" s="26"/>
      <c r="C45" s="26"/>
      <c r="D45" s="26"/>
      <c r="E45" s="26"/>
      <c r="F45" s="26"/>
      <c r="G45" s="26"/>
      <c r="H45" s="131">
        <f t="shared" si="2"/>
        <v>0</v>
      </c>
      <c r="I45" s="26"/>
      <c r="J45" s="26"/>
      <c r="K45" s="26"/>
      <c r="L45" s="12"/>
      <c r="M45" s="12"/>
      <c r="N45" s="26"/>
      <c r="O45" s="26"/>
    </row>
    <row r="46" spans="1:15">
      <c r="A46" s="26"/>
      <c r="B46" s="26"/>
      <c r="C46" s="26"/>
      <c r="D46" s="26"/>
      <c r="E46" s="26"/>
      <c r="F46" s="26"/>
      <c r="G46" s="26"/>
      <c r="H46" s="131">
        <f t="shared" si="2"/>
        <v>0</v>
      </c>
      <c r="I46" s="26"/>
      <c r="J46" s="26"/>
      <c r="K46" s="26"/>
      <c r="L46" s="12"/>
      <c r="M46" s="12"/>
      <c r="N46" s="26"/>
      <c r="O46" s="26"/>
    </row>
    <row r="47" spans="1:15">
      <c r="A47" s="26"/>
      <c r="B47" s="26"/>
      <c r="C47" s="26"/>
      <c r="D47" s="26"/>
      <c r="E47" s="26"/>
      <c r="F47" s="26"/>
      <c r="G47" s="26"/>
      <c r="H47" s="131">
        <f t="shared" si="2"/>
        <v>0</v>
      </c>
      <c r="I47" s="26"/>
      <c r="J47" s="26"/>
      <c r="K47" s="26"/>
      <c r="L47" s="12"/>
      <c r="M47" s="12"/>
      <c r="N47" s="26"/>
      <c r="O47" s="26"/>
    </row>
    <row r="48" spans="1:15">
      <c r="A48" s="26"/>
      <c r="B48" s="26"/>
      <c r="C48" s="26"/>
      <c r="D48" s="26"/>
      <c r="E48" s="26"/>
      <c r="F48" s="26"/>
      <c r="G48" s="26"/>
      <c r="H48" s="131">
        <f t="shared" si="2"/>
        <v>0</v>
      </c>
      <c r="I48" s="26"/>
      <c r="J48" s="26"/>
      <c r="K48" s="26"/>
      <c r="L48" s="12"/>
      <c r="M48" s="12"/>
      <c r="N48" s="26"/>
      <c r="O48" s="26"/>
    </row>
    <row r="49" spans="1:15">
      <c r="A49" s="26"/>
      <c r="B49" s="26"/>
      <c r="C49" s="26"/>
      <c r="D49" s="26"/>
      <c r="E49" s="26"/>
      <c r="F49" s="26"/>
      <c r="G49" s="26"/>
      <c r="H49" s="131">
        <f t="shared" si="2"/>
        <v>0</v>
      </c>
      <c r="I49" s="26"/>
      <c r="J49" s="26"/>
      <c r="K49" s="26"/>
      <c r="L49" s="12"/>
      <c r="M49" s="12"/>
      <c r="N49" s="26"/>
      <c r="O49" s="26"/>
    </row>
    <row r="50" spans="1:15" ht="21">
      <c r="A50" s="123">
        <v>45559</v>
      </c>
      <c r="B50" s="26"/>
      <c r="C50" s="26"/>
      <c r="D50" s="26"/>
      <c r="E50" s="26"/>
      <c r="F50" s="26"/>
      <c r="G50" s="26"/>
      <c r="H50" s="131">
        <f t="shared" si="2"/>
        <v>0</v>
      </c>
      <c r="I50" s="26"/>
      <c r="J50" s="26"/>
      <c r="K50" s="26"/>
      <c r="L50" s="12"/>
      <c r="M50" s="12"/>
      <c r="N50" s="26"/>
      <c r="O50" s="26"/>
    </row>
    <row r="51" spans="1:15">
      <c r="A51" s="26"/>
      <c r="B51" s="26"/>
      <c r="C51" s="26"/>
      <c r="D51" s="26"/>
      <c r="E51" s="26"/>
      <c r="F51" s="26"/>
      <c r="G51" s="26"/>
      <c r="H51" s="131">
        <f t="shared" si="2"/>
        <v>0</v>
      </c>
      <c r="I51" s="26"/>
      <c r="J51" s="26"/>
      <c r="K51" s="26"/>
      <c r="L51" s="12"/>
      <c r="M51" s="12"/>
      <c r="N51" s="26"/>
      <c r="O51" s="26"/>
    </row>
    <row r="52" spans="1:15">
      <c r="A52" s="26"/>
      <c r="B52" s="26"/>
      <c r="C52" s="26"/>
      <c r="D52" s="26"/>
      <c r="E52" s="26"/>
      <c r="F52" s="26"/>
      <c r="G52" s="26"/>
      <c r="H52" s="131">
        <f t="shared" si="2"/>
        <v>0</v>
      </c>
      <c r="I52" s="26"/>
      <c r="J52" s="26"/>
      <c r="K52" s="26"/>
      <c r="L52" s="12"/>
      <c r="M52" s="12"/>
      <c r="N52" s="26"/>
      <c r="O52" s="26"/>
    </row>
    <row r="53" spans="1:15">
      <c r="A53" s="26"/>
      <c r="B53" s="26"/>
      <c r="C53" s="26"/>
      <c r="D53" s="26"/>
      <c r="E53" s="26"/>
      <c r="F53" s="26"/>
      <c r="G53" s="26"/>
      <c r="H53" s="131">
        <f t="shared" si="2"/>
        <v>0</v>
      </c>
      <c r="I53" s="26"/>
      <c r="J53" s="26"/>
      <c r="K53" s="26"/>
      <c r="L53" s="12"/>
      <c r="M53" s="12"/>
      <c r="N53" s="26"/>
      <c r="O53" s="26"/>
    </row>
    <row r="54" spans="1:15">
      <c r="A54" s="26"/>
      <c r="B54" s="26"/>
      <c r="C54" s="26"/>
      <c r="D54" s="26"/>
      <c r="E54" s="26"/>
      <c r="F54" s="26"/>
      <c r="G54" s="26"/>
      <c r="H54" s="131">
        <f t="shared" si="2"/>
        <v>0</v>
      </c>
      <c r="I54" s="26"/>
      <c r="J54" s="26"/>
      <c r="K54" s="26"/>
      <c r="L54" s="12"/>
      <c r="M54" s="12"/>
      <c r="N54" s="26"/>
      <c r="O54" s="26"/>
    </row>
    <row r="55" spans="1:15">
      <c r="A55" s="26"/>
      <c r="B55" s="26"/>
      <c r="C55" s="26"/>
      <c r="D55" s="26"/>
      <c r="E55" s="26"/>
      <c r="F55" s="26"/>
      <c r="G55" s="26"/>
      <c r="H55" s="131">
        <f t="shared" si="2"/>
        <v>0</v>
      </c>
      <c r="I55" s="26"/>
      <c r="J55" s="26"/>
      <c r="K55" s="26"/>
      <c r="L55" s="12"/>
      <c r="M55" s="12"/>
      <c r="N55" s="26"/>
      <c r="O55" s="26"/>
    </row>
    <row r="56" spans="1:15">
      <c r="A56" s="26"/>
      <c r="B56" s="26"/>
      <c r="C56" s="26"/>
      <c r="D56" s="26"/>
      <c r="E56" s="26"/>
      <c r="F56" s="26"/>
      <c r="G56" s="26"/>
      <c r="H56" s="131">
        <f t="shared" si="2"/>
        <v>0</v>
      </c>
      <c r="I56" s="26"/>
      <c r="J56" s="26"/>
      <c r="K56" s="26"/>
      <c r="L56" s="12"/>
      <c r="M56" s="12"/>
      <c r="N56" s="26"/>
      <c r="O56" s="26"/>
    </row>
    <row r="57" spans="1:15">
      <c r="A57" s="26"/>
      <c r="B57" s="26"/>
      <c r="C57" s="26"/>
      <c r="D57" s="26"/>
      <c r="E57" s="26"/>
      <c r="F57" s="26"/>
      <c r="G57" s="26"/>
      <c r="H57" s="131">
        <f t="shared" si="2"/>
        <v>0</v>
      </c>
      <c r="I57" s="26"/>
      <c r="J57" s="26"/>
      <c r="K57" s="26"/>
      <c r="L57" s="12"/>
      <c r="M57" s="12"/>
      <c r="N57" s="26"/>
      <c r="O57" s="26"/>
    </row>
    <row r="58" spans="1:15">
      <c r="A58" s="26"/>
      <c r="B58" s="26"/>
      <c r="C58" s="26"/>
      <c r="D58" s="26"/>
      <c r="E58" s="26"/>
      <c r="F58" s="26"/>
      <c r="G58" s="26"/>
      <c r="H58" s="131">
        <f t="shared" si="2"/>
        <v>0</v>
      </c>
      <c r="I58" s="26"/>
      <c r="J58" s="26"/>
      <c r="K58" s="26"/>
      <c r="L58" s="12"/>
      <c r="M58" s="12"/>
      <c r="N58" s="26"/>
      <c r="O58" s="26"/>
    </row>
    <row r="59" spans="1:15">
      <c r="A59" s="26"/>
      <c r="B59" s="26"/>
      <c r="C59" s="26"/>
      <c r="D59" s="26"/>
      <c r="E59" s="26"/>
      <c r="F59" s="26"/>
      <c r="G59" s="26"/>
      <c r="H59" s="131">
        <f t="shared" si="2"/>
        <v>0</v>
      </c>
      <c r="I59" s="26"/>
      <c r="J59" s="26"/>
      <c r="K59" s="26"/>
      <c r="L59" s="12"/>
      <c r="M59" s="12"/>
      <c r="N59" s="26"/>
      <c r="O59" s="26"/>
    </row>
    <row r="60" spans="1:15">
      <c r="A60" s="26"/>
      <c r="B60" s="26"/>
      <c r="C60" s="26"/>
      <c r="D60" s="26"/>
      <c r="E60" s="26"/>
      <c r="F60" s="26"/>
      <c r="G60" s="26"/>
      <c r="H60" s="131">
        <f t="shared" si="2"/>
        <v>0</v>
      </c>
      <c r="I60" s="26"/>
      <c r="J60" s="26"/>
      <c r="K60" s="26"/>
      <c r="L60" s="12"/>
      <c r="M60" s="12"/>
      <c r="N60" s="26"/>
      <c r="O60" s="26"/>
    </row>
    <row r="61" spans="1:15" ht="21">
      <c r="A61" s="123">
        <v>45566</v>
      </c>
      <c r="B61" s="26"/>
      <c r="C61" s="26"/>
      <c r="D61" s="26"/>
      <c r="E61" s="26"/>
      <c r="F61" s="26"/>
      <c r="G61" s="26"/>
      <c r="H61" s="131">
        <f t="shared" si="2"/>
        <v>0</v>
      </c>
      <c r="I61" s="26"/>
      <c r="J61" s="26"/>
      <c r="K61" s="26"/>
      <c r="L61" s="12"/>
      <c r="M61" s="12"/>
      <c r="N61" s="26"/>
      <c r="O61" s="26"/>
    </row>
    <row r="62" spans="1:15">
      <c r="A62" s="26"/>
      <c r="B62" s="26"/>
      <c r="C62" s="26"/>
      <c r="D62" s="26"/>
      <c r="E62" s="26"/>
      <c r="F62" s="26"/>
      <c r="G62" s="26"/>
      <c r="H62" s="131">
        <f t="shared" si="2"/>
        <v>0</v>
      </c>
      <c r="I62" s="26"/>
      <c r="J62" s="26"/>
      <c r="K62" s="26"/>
      <c r="L62" s="12"/>
      <c r="M62" s="12"/>
      <c r="N62" s="26"/>
      <c r="O62" s="26"/>
    </row>
    <row r="63" spans="1:15">
      <c r="A63" s="26"/>
      <c r="B63" s="26"/>
      <c r="C63" s="26"/>
      <c r="D63" s="26"/>
      <c r="E63" s="26"/>
      <c r="F63" s="26"/>
      <c r="G63" s="26"/>
      <c r="H63" s="131">
        <f t="shared" si="2"/>
        <v>0</v>
      </c>
      <c r="I63" s="26"/>
      <c r="J63" s="26"/>
      <c r="K63" s="26"/>
      <c r="L63" s="12"/>
      <c r="M63" s="12"/>
      <c r="N63" s="26"/>
      <c r="O63" s="26"/>
    </row>
    <row r="64" spans="1:15">
      <c r="A64" s="26"/>
      <c r="B64" s="26"/>
      <c r="C64" s="26"/>
      <c r="D64" s="26"/>
      <c r="E64" s="26"/>
      <c r="F64" s="26"/>
      <c r="G64" s="26"/>
      <c r="H64" s="131">
        <f t="shared" si="2"/>
        <v>0</v>
      </c>
      <c r="I64" s="26"/>
      <c r="J64" s="26"/>
      <c r="K64" s="26"/>
      <c r="L64" s="12"/>
      <c r="M64" s="12"/>
      <c r="N64" s="26"/>
      <c r="O64" s="26"/>
    </row>
    <row r="65" spans="1:15">
      <c r="A65" s="26"/>
      <c r="B65" s="26"/>
      <c r="C65" s="26"/>
      <c r="D65" s="26"/>
      <c r="E65" s="26"/>
      <c r="F65" s="26"/>
      <c r="G65" s="26"/>
      <c r="H65" s="131">
        <f t="shared" si="2"/>
        <v>0</v>
      </c>
      <c r="I65" s="26"/>
      <c r="J65" s="26"/>
      <c r="K65" s="26"/>
      <c r="L65" s="12"/>
      <c r="M65" s="12"/>
      <c r="N65" s="26"/>
      <c r="O65" s="26"/>
    </row>
    <row r="66" spans="1:15">
      <c r="A66" s="26"/>
      <c r="B66" s="26"/>
      <c r="C66" s="26"/>
      <c r="D66" s="26"/>
      <c r="E66" s="26"/>
      <c r="F66" s="26"/>
      <c r="G66" s="26"/>
      <c r="H66" s="131">
        <f t="shared" si="2"/>
        <v>0</v>
      </c>
      <c r="I66" s="26"/>
      <c r="J66" s="26"/>
      <c r="K66" s="26"/>
      <c r="L66" s="12"/>
      <c r="M66" s="12"/>
      <c r="N66" s="26"/>
      <c r="O66" s="26"/>
    </row>
    <row r="67" spans="1:15">
      <c r="A67" s="26"/>
      <c r="B67" s="26"/>
      <c r="C67" s="26"/>
      <c r="D67" s="26"/>
      <c r="E67" s="26"/>
      <c r="F67" s="26"/>
      <c r="G67" s="26"/>
      <c r="H67" s="131">
        <f t="shared" si="2"/>
        <v>0</v>
      </c>
      <c r="I67" s="26"/>
      <c r="J67" s="26"/>
      <c r="K67" s="26"/>
      <c r="L67" s="12"/>
      <c r="M67" s="12"/>
      <c r="N67" s="26"/>
      <c r="O67" s="26"/>
    </row>
    <row r="68" spans="1:15">
      <c r="A68" s="26"/>
      <c r="B68" s="26"/>
      <c r="C68" s="26"/>
      <c r="D68" s="26"/>
      <c r="E68" s="26"/>
      <c r="F68" s="26"/>
      <c r="G68" s="26"/>
      <c r="H68" s="131">
        <f t="shared" si="2"/>
        <v>0</v>
      </c>
      <c r="I68" s="26"/>
      <c r="J68" s="26"/>
      <c r="K68" s="26"/>
      <c r="L68" s="12"/>
      <c r="M68" s="12"/>
      <c r="N68" s="26"/>
      <c r="O68" s="26"/>
    </row>
    <row r="69" spans="1:15" ht="21">
      <c r="A69" s="123">
        <v>45620</v>
      </c>
      <c r="B69" s="26"/>
      <c r="C69" s="26"/>
      <c r="D69" s="26"/>
      <c r="E69" s="26"/>
      <c r="F69" s="26"/>
      <c r="G69" s="26"/>
      <c r="H69" s="131">
        <f t="shared" si="2"/>
        <v>0</v>
      </c>
      <c r="I69" s="26"/>
      <c r="J69" s="26"/>
      <c r="K69" s="26"/>
      <c r="L69" s="12"/>
      <c r="M69" s="12"/>
      <c r="N69" s="26"/>
      <c r="O69" s="26"/>
    </row>
    <row r="70" spans="1:15">
      <c r="A70" s="136"/>
      <c r="B70" s="26"/>
      <c r="C70" s="26"/>
      <c r="D70" s="26"/>
      <c r="E70" s="26"/>
      <c r="F70" s="26"/>
      <c r="G70" s="26"/>
      <c r="H70" s="131"/>
      <c r="I70" s="26"/>
      <c r="J70" s="26"/>
      <c r="K70" s="26"/>
      <c r="L70" s="12"/>
      <c r="M70" s="12"/>
      <c r="N70" s="26"/>
      <c r="O70" s="26"/>
    </row>
    <row r="71" spans="1:15">
      <c r="A71" s="26"/>
      <c r="B71" s="26"/>
      <c r="C71" s="26"/>
      <c r="D71" s="26"/>
      <c r="E71" s="26"/>
      <c r="F71" s="26"/>
      <c r="G71" s="26"/>
      <c r="H71" s="131"/>
      <c r="I71" s="26"/>
      <c r="J71" s="26"/>
      <c r="K71" s="26"/>
      <c r="L71" s="12"/>
      <c r="M71" s="12"/>
      <c r="N71" s="26"/>
      <c r="O71" s="26"/>
    </row>
    <row r="72" spans="1:15">
      <c r="A72" s="136"/>
      <c r="B72" s="26"/>
      <c r="C72" s="26"/>
      <c r="D72" s="26"/>
      <c r="E72" s="26"/>
      <c r="F72" s="26"/>
      <c r="G72" s="26"/>
      <c r="H72" s="131"/>
      <c r="I72" s="26"/>
      <c r="J72" s="26"/>
      <c r="K72" s="26"/>
      <c r="L72" s="12"/>
      <c r="M72" s="12"/>
      <c r="N72" s="26"/>
      <c r="O72" s="26"/>
    </row>
    <row r="73" spans="1:15">
      <c r="A73" s="26"/>
      <c r="B73" s="26"/>
      <c r="C73" s="26"/>
      <c r="D73" s="26"/>
      <c r="E73" s="26"/>
      <c r="F73" s="26"/>
      <c r="G73" s="26"/>
      <c r="H73" s="131"/>
      <c r="I73" s="26"/>
      <c r="J73" s="26"/>
      <c r="K73" s="26"/>
      <c r="L73" s="12"/>
      <c r="M73" s="12"/>
      <c r="N73" s="26"/>
      <c r="O73" s="26"/>
    </row>
    <row r="74" spans="1:15">
      <c r="A74" s="126"/>
      <c r="B74" s="126"/>
      <c r="C74" s="126"/>
      <c r="D74" s="126"/>
      <c r="E74" s="126"/>
      <c r="F74" s="126"/>
      <c r="G74" s="126"/>
      <c r="H74" s="137"/>
      <c r="I74" s="126"/>
      <c r="J74" s="126"/>
      <c r="K74" s="126"/>
      <c r="L74" s="27"/>
      <c r="M74" s="27"/>
      <c r="N74" s="126"/>
      <c r="O74" s="126"/>
    </row>
    <row r="75" spans="1:15" s="116" customFormat="1">
      <c r="A75" s="138"/>
      <c r="B75" s="139"/>
      <c r="G75" s="140"/>
      <c r="H75" s="141"/>
    </row>
    <row r="76" spans="1:15" s="116" customFormat="1">
      <c r="A76" s="138"/>
      <c r="B76" s="139"/>
      <c r="H76" s="141"/>
      <c r="K76" s="140"/>
    </row>
    <row r="77" spans="1:15">
      <c r="A77" s="124"/>
      <c r="B77" s="124"/>
      <c r="C77" s="124"/>
      <c r="D77" s="124"/>
      <c r="E77" s="124"/>
      <c r="F77" s="124"/>
      <c r="G77" s="124"/>
      <c r="H77" s="142">
        <f t="shared" ref="H77:H98" si="3">D77+E77+F77+G77</f>
        <v>0</v>
      </c>
      <c r="I77" s="124"/>
      <c r="J77" s="124"/>
      <c r="K77" s="124"/>
      <c r="L77" s="133"/>
      <c r="M77" s="133"/>
      <c r="N77" s="124"/>
      <c r="O77" s="124"/>
    </row>
    <row r="78" spans="1:15" ht="21">
      <c r="A78" s="123">
        <v>45650</v>
      </c>
      <c r="B78" s="26"/>
      <c r="C78" s="26"/>
      <c r="D78" s="26"/>
      <c r="E78" s="26"/>
      <c r="F78" s="26"/>
      <c r="G78" s="26"/>
      <c r="H78" s="131">
        <f t="shared" si="3"/>
        <v>0</v>
      </c>
      <c r="I78" s="26"/>
      <c r="J78" s="26"/>
      <c r="K78" s="26"/>
      <c r="L78" s="12"/>
      <c r="M78" s="12"/>
      <c r="N78" s="26"/>
      <c r="O78" s="26"/>
    </row>
    <row r="79" spans="1:15">
      <c r="A79" s="136"/>
      <c r="B79" s="26"/>
      <c r="C79" s="26"/>
      <c r="D79" s="26"/>
      <c r="E79" s="26"/>
      <c r="F79" s="26"/>
      <c r="G79" s="26"/>
      <c r="H79" s="131"/>
      <c r="I79" s="26"/>
      <c r="J79" s="136"/>
      <c r="K79" s="26"/>
      <c r="L79" s="12"/>
      <c r="M79" s="12"/>
      <c r="N79" s="26"/>
      <c r="O79" s="26"/>
    </row>
    <row r="80" spans="1:15" s="117" customFormat="1">
      <c r="A80" s="143"/>
      <c r="B80" s="144"/>
      <c r="C80" s="145"/>
      <c r="D80" s="144"/>
      <c r="E80" s="144"/>
      <c r="F80" s="144"/>
      <c r="G80" s="144"/>
      <c r="H80" s="146"/>
      <c r="I80" s="144"/>
      <c r="J80" s="150"/>
    </row>
    <row r="81" spans="1:15" s="117" customFormat="1">
      <c r="A81" s="147"/>
      <c r="B81" s="144"/>
      <c r="C81" s="145"/>
      <c r="D81" s="144"/>
      <c r="E81" s="144"/>
      <c r="F81" s="144"/>
      <c r="G81" s="144"/>
      <c r="H81" s="148"/>
      <c r="I81" s="144"/>
      <c r="J81" s="150"/>
    </row>
    <row r="82" spans="1:15" s="117" customFormat="1">
      <c r="A82" s="147"/>
      <c r="B82" s="144"/>
      <c r="C82" s="145"/>
      <c r="D82" s="144"/>
      <c r="E82" s="144"/>
      <c r="F82" s="144"/>
      <c r="G82" s="144"/>
      <c r="H82" s="148"/>
      <c r="I82" s="144"/>
      <c r="J82" s="150"/>
    </row>
    <row r="83" spans="1:15">
      <c r="A83" s="26"/>
      <c r="B83" s="26"/>
      <c r="C83" s="149"/>
      <c r="D83" s="26"/>
      <c r="E83" s="26"/>
      <c r="F83" s="26"/>
      <c r="G83" s="26"/>
      <c r="H83" s="131">
        <f t="shared" si="3"/>
        <v>0</v>
      </c>
      <c r="I83" s="26"/>
      <c r="J83" s="26"/>
      <c r="K83" s="26"/>
      <c r="L83" s="12"/>
      <c r="M83" s="12"/>
      <c r="N83" s="26"/>
      <c r="O83" s="26"/>
    </row>
    <row r="84" spans="1:15">
      <c r="A84" s="26"/>
      <c r="B84" s="26"/>
      <c r="C84" s="149"/>
      <c r="D84" s="26"/>
      <c r="E84" s="26"/>
      <c r="F84" s="26"/>
      <c r="G84" s="26"/>
      <c r="H84" s="131">
        <f t="shared" si="3"/>
        <v>0</v>
      </c>
      <c r="I84" s="26"/>
      <c r="J84" s="26"/>
      <c r="K84" s="26"/>
      <c r="L84" s="12"/>
      <c r="M84" s="12"/>
      <c r="N84" s="26"/>
      <c r="O84" s="26"/>
    </row>
    <row r="85" spans="1:15">
      <c r="A85" s="26"/>
      <c r="B85" s="26"/>
      <c r="C85" s="26"/>
      <c r="D85" s="26"/>
      <c r="E85" s="26"/>
      <c r="F85" s="26"/>
      <c r="G85" s="26"/>
      <c r="H85" s="131">
        <f t="shared" si="3"/>
        <v>0</v>
      </c>
      <c r="I85" s="26"/>
      <c r="J85" s="26"/>
      <c r="K85" s="26"/>
      <c r="L85" s="12"/>
      <c r="M85" s="12"/>
      <c r="N85" s="26"/>
      <c r="O85" s="26"/>
    </row>
    <row r="86" spans="1:15">
      <c r="A86" s="26"/>
      <c r="B86" s="26"/>
      <c r="C86" s="26"/>
      <c r="D86" s="26"/>
      <c r="E86" s="26"/>
      <c r="F86" s="26"/>
      <c r="G86" s="26"/>
      <c r="H86" s="131">
        <f t="shared" si="3"/>
        <v>0</v>
      </c>
      <c r="I86" s="26"/>
      <c r="J86" s="26"/>
      <c r="K86" s="26"/>
      <c r="L86" s="12"/>
      <c r="M86" s="12"/>
      <c r="N86" s="26"/>
      <c r="O86" s="26"/>
    </row>
    <row r="87" spans="1:15">
      <c r="A87" s="26"/>
      <c r="B87" s="26"/>
      <c r="C87" s="26"/>
      <c r="D87" s="26"/>
      <c r="E87" s="26"/>
      <c r="F87" s="26"/>
      <c r="G87" s="26"/>
      <c r="H87" s="131">
        <f t="shared" si="3"/>
        <v>0</v>
      </c>
      <c r="I87" s="26"/>
      <c r="J87" s="26"/>
      <c r="K87" s="26"/>
      <c r="L87" s="12"/>
      <c r="M87" s="12"/>
      <c r="N87" s="26"/>
      <c r="O87" s="26"/>
    </row>
    <row r="88" spans="1:15">
      <c r="A88" s="26"/>
      <c r="B88" s="26"/>
      <c r="C88" s="26"/>
      <c r="D88" s="26"/>
      <c r="E88" s="26"/>
      <c r="F88" s="26"/>
      <c r="G88" s="26"/>
      <c r="H88" s="131">
        <f t="shared" si="3"/>
        <v>0</v>
      </c>
      <c r="I88" s="26"/>
      <c r="J88" s="26"/>
      <c r="K88" s="26"/>
      <c r="L88" s="12"/>
      <c r="M88" s="12"/>
      <c r="N88" s="26"/>
      <c r="O88" s="26"/>
    </row>
    <row r="89" spans="1:15">
      <c r="A89" s="26"/>
      <c r="B89" s="26"/>
      <c r="C89" s="26"/>
      <c r="D89" s="26"/>
      <c r="E89" s="26"/>
      <c r="F89" s="26"/>
      <c r="G89" s="26"/>
      <c r="H89" s="131">
        <f t="shared" si="3"/>
        <v>0</v>
      </c>
      <c r="I89" s="26"/>
      <c r="J89" s="26"/>
      <c r="K89" s="26"/>
      <c r="L89" s="12"/>
      <c r="M89" s="12"/>
      <c r="N89" s="26"/>
      <c r="O89" s="26"/>
    </row>
    <row r="90" spans="1:15">
      <c r="A90" s="26"/>
      <c r="B90" s="26"/>
      <c r="C90" s="26"/>
      <c r="D90" s="26"/>
      <c r="E90" s="26"/>
      <c r="F90" s="26"/>
      <c r="G90" s="26"/>
      <c r="H90" s="131">
        <f t="shared" si="3"/>
        <v>0</v>
      </c>
      <c r="I90" s="26"/>
      <c r="J90" s="26"/>
      <c r="K90" s="26"/>
      <c r="L90" s="12"/>
      <c r="M90" s="12"/>
      <c r="N90" s="26"/>
      <c r="O90" s="26"/>
    </row>
    <row r="91" spans="1:15">
      <c r="A91" s="26"/>
      <c r="B91" s="26"/>
      <c r="C91" s="26"/>
      <c r="D91" s="26"/>
      <c r="E91" s="26"/>
      <c r="F91" s="26"/>
      <c r="G91" s="26"/>
      <c r="H91" s="131">
        <f t="shared" si="3"/>
        <v>0</v>
      </c>
      <c r="I91" s="26"/>
      <c r="J91" s="26"/>
      <c r="K91" s="26"/>
      <c r="L91" s="12"/>
      <c r="M91" s="12"/>
      <c r="N91" s="26"/>
      <c r="O91" s="26"/>
    </row>
    <row r="92" spans="1:15">
      <c r="A92" s="26"/>
      <c r="B92" s="26"/>
      <c r="C92" s="26"/>
      <c r="D92" s="26"/>
      <c r="E92" s="26"/>
      <c r="F92" s="26"/>
      <c r="G92" s="26"/>
      <c r="H92" s="131">
        <f t="shared" si="3"/>
        <v>0</v>
      </c>
      <c r="I92" s="26"/>
      <c r="J92" s="26"/>
      <c r="K92" s="26"/>
      <c r="L92" s="12"/>
      <c r="M92" s="12"/>
      <c r="N92" s="26"/>
      <c r="O92" s="26"/>
    </row>
    <row r="93" spans="1:15">
      <c r="A93" s="26"/>
      <c r="B93" s="26"/>
      <c r="C93" s="26"/>
      <c r="D93" s="26"/>
      <c r="E93" s="26"/>
      <c r="F93" s="26"/>
      <c r="G93" s="26"/>
      <c r="H93" s="131">
        <f t="shared" si="3"/>
        <v>0</v>
      </c>
      <c r="I93" s="26"/>
      <c r="J93" s="26"/>
      <c r="K93" s="26"/>
      <c r="L93" s="12"/>
      <c r="M93" s="12"/>
      <c r="N93" s="26"/>
      <c r="O93" s="26"/>
    </row>
    <row r="94" spans="1:15">
      <c r="H94" s="131">
        <f t="shared" si="3"/>
        <v>0</v>
      </c>
    </row>
    <row r="95" spans="1:15">
      <c r="H95" s="131">
        <f t="shared" si="3"/>
        <v>0</v>
      </c>
    </row>
    <row r="96" spans="1:15">
      <c r="H96" s="131">
        <f t="shared" si="3"/>
        <v>0</v>
      </c>
    </row>
    <row r="97" spans="8:8">
      <c r="H97" s="131">
        <f t="shared" si="3"/>
        <v>0</v>
      </c>
    </row>
    <row r="98" spans="8:8">
      <c r="H98" s="131">
        <f t="shared" si="3"/>
        <v>0</v>
      </c>
    </row>
  </sheetData>
  <autoFilter ref="A1:O69" xr:uid="{00000000-0009-0000-0000-000004000000}">
    <filterColumn colId="1">
      <filters>
        <filter val="Namrata 101"/>
        <filter val="Namrata 102"/>
        <filter val="Namrata 104"/>
        <filter val="Namrata 105"/>
        <filter val="Namrata 106"/>
      </filters>
    </filterColumn>
  </autoFilter>
  <mergeCells count="2">
    <mergeCell ref="A4:A5"/>
    <mergeCell ref="B4:B5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5"/>
  <dimension ref="A1:K28"/>
  <sheetViews>
    <sheetView tabSelected="1" workbookViewId="0">
      <pane ySplit="1" topLeftCell="A17" activePane="bottomLeft" state="frozen"/>
      <selection pane="bottomLeft" activeCell="D23" sqref="D23"/>
    </sheetView>
  </sheetViews>
  <sheetFormatPr defaultColWidth="9.08984375" defaultRowHeight="14"/>
  <cols>
    <col min="1" max="1" width="13.90625" style="76" customWidth="1"/>
    <col min="2" max="2" width="23.54296875" style="76" customWidth="1"/>
    <col min="3" max="3" width="85.81640625" style="76" customWidth="1"/>
    <col min="4" max="4" width="14.36328125" style="77" customWidth="1"/>
    <col min="5" max="5" width="16.90625" style="76" customWidth="1"/>
    <col min="6" max="6" width="21" style="76" customWidth="1"/>
    <col min="7" max="7" width="16.08984375" style="76" customWidth="1"/>
    <col min="8" max="8" width="19.36328125" style="78" customWidth="1"/>
    <col min="9" max="9" width="19" style="79" customWidth="1"/>
    <col min="10" max="10" width="21.90625" style="79" customWidth="1"/>
    <col min="11" max="11" width="23.453125" style="80" customWidth="1"/>
    <col min="12" max="16384" width="9.08984375" style="80"/>
  </cols>
  <sheetData>
    <row r="1" spans="1:11" s="73" customFormat="1" ht="60">
      <c r="A1" s="81" t="s">
        <v>193</v>
      </c>
      <c r="B1" s="81" t="s">
        <v>194</v>
      </c>
      <c r="C1" s="81" t="s">
        <v>195</v>
      </c>
      <c r="D1" s="82" t="s">
        <v>196</v>
      </c>
      <c r="E1" s="83" t="s">
        <v>205</v>
      </c>
      <c r="F1" s="83" t="s">
        <v>207</v>
      </c>
      <c r="G1" s="84" t="s">
        <v>208</v>
      </c>
      <c r="H1" s="85" t="s">
        <v>332</v>
      </c>
      <c r="I1" s="110" t="s">
        <v>333</v>
      </c>
      <c r="J1" s="73" t="s">
        <v>334</v>
      </c>
      <c r="K1" s="73" t="s">
        <v>335</v>
      </c>
    </row>
    <row r="2" spans="1:11" ht="15.5">
      <c r="A2" s="233">
        <v>44754</v>
      </c>
      <c r="B2" s="48" t="s">
        <v>336</v>
      </c>
      <c r="C2" s="48" t="s">
        <v>337</v>
      </c>
      <c r="D2" s="77">
        <v>172044</v>
      </c>
    </row>
    <row r="3" spans="1:11" ht="18.5">
      <c r="A3" s="232">
        <v>45573</v>
      </c>
      <c r="B3" s="12" t="s">
        <v>338</v>
      </c>
      <c r="C3" s="48" t="s">
        <v>339</v>
      </c>
      <c r="D3" s="77">
        <v>21240</v>
      </c>
    </row>
    <row r="4" spans="1:11" ht="15.5">
      <c r="A4" s="86"/>
      <c r="B4" s="26" t="s">
        <v>340</v>
      </c>
      <c r="C4" s="87" t="s">
        <v>341</v>
      </c>
    </row>
    <row r="5" spans="1:11" s="74" customFormat="1" ht="14.5">
      <c r="A5" s="88" t="s">
        <v>342</v>
      </c>
      <c r="B5" s="89" t="s">
        <v>343</v>
      </c>
      <c r="C5" s="52" t="s">
        <v>344</v>
      </c>
      <c r="D5" s="90">
        <v>173884.79999999999</v>
      </c>
      <c r="E5" s="91" t="s">
        <v>210</v>
      </c>
      <c r="F5" s="92">
        <v>45600</v>
      </c>
      <c r="G5" s="91"/>
      <c r="H5" s="93" t="s">
        <v>345</v>
      </c>
      <c r="I5" s="111">
        <f>D5-H5</f>
        <v>24329.8</v>
      </c>
      <c r="J5" s="91"/>
    </row>
    <row r="6" spans="1:11" s="74" customFormat="1" ht="15.5">
      <c r="A6" s="94">
        <v>45962</v>
      </c>
      <c r="B6" s="95" t="s">
        <v>346</v>
      </c>
      <c r="C6" s="96" t="s">
        <v>347</v>
      </c>
      <c r="D6" s="90">
        <v>90152</v>
      </c>
      <c r="E6" s="91" t="s">
        <v>210</v>
      </c>
      <c r="F6" s="92">
        <v>45671</v>
      </c>
      <c r="G6" s="91" t="s">
        <v>348</v>
      </c>
      <c r="H6" s="97">
        <v>76400</v>
      </c>
      <c r="I6" s="112">
        <f>D6-H6</f>
        <v>13752</v>
      </c>
      <c r="J6" s="113"/>
      <c r="K6" s="74" t="s">
        <v>349</v>
      </c>
    </row>
    <row r="8" spans="1:11" ht="14.5">
      <c r="A8" s="98">
        <v>45661</v>
      </c>
      <c r="B8" s="99" t="s">
        <v>350</v>
      </c>
      <c r="C8" s="100" t="s">
        <v>341</v>
      </c>
      <c r="D8" s="77">
        <v>142142.79999999999</v>
      </c>
    </row>
    <row r="9" spans="1:11" s="75" customFormat="1" ht="14" customHeight="1">
      <c r="A9" s="101">
        <v>45661</v>
      </c>
      <c r="B9" s="102" t="s">
        <v>351</v>
      </c>
      <c r="C9" s="103" t="s">
        <v>341</v>
      </c>
      <c r="D9" s="104">
        <v>96689.2</v>
      </c>
      <c r="E9" s="103" t="s">
        <v>210</v>
      </c>
      <c r="F9" s="105" t="s">
        <v>352</v>
      </c>
      <c r="G9" s="103" t="s">
        <v>353</v>
      </c>
      <c r="H9" s="106"/>
      <c r="I9" s="114"/>
      <c r="J9" s="114"/>
    </row>
    <row r="10" spans="1:11" s="75" customFormat="1" ht="14" customHeight="1">
      <c r="A10" s="101">
        <v>45934</v>
      </c>
      <c r="B10" s="102" t="s">
        <v>354</v>
      </c>
      <c r="C10" s="103" t="s">
        <v>341</v>
      </c>
      <c r="D10" s="104">
        <v>280285.40000000002</v>
      </c>
      <c r="E10" s="103" t="s">
        <v>210</v>
      </c>
      <c r="F10" s="105" t="s">
        <v>355</v>
      </c>
      <c r="G10" s="103" t="s">
        <v>353</v>
      </c>
      <c r="H10" s="106"/>
      <c r="I10" s="114"/>
      <c r="J10" s="114"/>
    </row>
    <row r="11" spans="1:11" s="75" customFormat="1" ht="14" customHeight="1">
      <c r="A11" s="101">
        <v>45934</v>
      </c>
      <c r="B11" s="102" t="s">
        <v>356</v>
      </c>
      <c r="C11" s="103" t="s">
        <v>341</v>
      </c>
      <c r="D11" s="104">
        <v>30444</v>
      </c>
      <c r="E11" s="103" t="s">
        <v>210</v>
      </c>
      <c r="F11" s="105" t="s">
        <v>352</v>
      </c>
      <c r="G11" s="103" t="s">
        <v>353</v>
      </c>
      <c r="H11" s="106"/>
      <c r="I11" s="114"/>
      <c r="J11" s="114"/>
    </row>
    <row r="12" spans="1:11" s="75" customFormat="1" ht="14" customHeight="1">
      <c r="A12" s="101">
        <v>45965</v>
      </c>
      <c r="B12" s="102" t="s">
        <v>357</v>
      </c>
      <c r="C12" s="103" t="s">
        <v>341</v>
      </c>
      <c r="D12" s="104">
        <v>111533.6</v>
      </c>
      <c r="E12" s="103" t="s">
        <v>210</v>
      </c>
      <c r="F12" s="105" t="s">
        <v>352</v>
      </c>
      <c r="G12" s="103" t="s">
        <v>353</v>
      </c>
      <c r="H12" s="106"/>
      <c r="I12" s="114"/>
      <c r="J12" s="114"/>
    </row>
    <row r="13" spans="1:11" s="75" customFormat="1" ht="14" customHeight="1">
      <c r="A13" s="101" t="s">
        <v>358</v>
      </c>
      <c r="B13" s="102" t="s">
        <v>359</v>
      </c>
      <c r="C13" s="103" t="s">
        <v>341</v>
      </c>
      <c r="D13" s="104">
        <v>224827.76</v>
      </c>
      <c r="E13" s="103" t="s">
        <v>210</v>
      </c>
      <c r="F13" s="105" t="s">
        <v>352</v>
      </c>
      <c r="G13" s="103" t="s">
        <v>353</v>
      </c>
      <c r="H13" s="106"/>
      <c r="I13" s="114"/>
      <c r="J13" s="114"/>
    </row>
    <row r="14" spans="1:11" s="75" customFormat="1" ht="14" customHeight="1">
      <c r="A14" s="101" t="s">
        <v>232</v>
      </c>
      <c r="B14" s="102" t="s">
        <v>360</v>
      </c>
      <c r="C14" s="103" t="s">
        <v>341</v>
      </c>
      <c r="D14" s="104">
        <v>7694.78</v>
      </c>
      <c r="E14" s="103" t="s">
        <v>210</v>
      </c>
      <c r="F14" s="105" t="s">
        <v>352</v>
      </c>
      <c r="G14" s="103" t="s">
        <v>353</v>
      </c>
      <c r="H14" s="106"/>
      <c r="I14" s="114"/>
      <c r="J14" s="114"/>
    </row>
    <row r="15" spans="1:11" s="75" customFormat="1" ht="14" customHeight="1">
      <c r="A15" s="101" t="s">
        <v>355</v>
      </c>
      <c r="B15" s="102" t="s">
        <v>361</v>
      </c>
      <c r="C15" s="103" t="s">
        <v>341</v>
      </c>
      <c r="D15" s="104">
        <v>5876.4</v>
      </c>
      <c r="E15" s="103" t="s">
        <v>210</v>
      </c>
      <c r="F15" s="105" t="s">
        <v>352</v>
      </c>
      <c r="G15" s="103" t="s">
        <v>353</v>
      </c>
      <c r="H15" s="106"/>
      <c r="I15" s="114"/>
      <c r="J15" s="114"/>
    </row>
    <row r="16" spans="1:11" s="75" customFormat="1" ht="14.5">
      <c r="A16" s="101">
        <v>45905</v>
      </c>
      <c r="B16" s="55" t="s">
        <v>362</v>
      </c>
      <c r="C16" s="103" t="s">
        <v>341</v>
      </c>
      <c r="D16" s="104">
        <v>405283.98</v>
      </c>
      <c r="E16" s="103" t="s">
        <v>210</v>
      </c>
      <c r="F16" s="105" t="s">
        <v>352</v>
      </c>
      <c r="G16" s="103" t="s">
        <v>353</v>
      </c>
      <c r="H16" s="107">
        <f>D16-J16</f>
        <v>404940.52</v>
      </c>
      <c r="I16" s="114"/>
      <c r="J16" s="114">
        <v>343.46</v>
      </c>
    </row>
    <row r="17" spans="1:10" s="75" customFormat="1" ht="14.5">
      <c r="A17" s="103" t="s">
        <v>239</v>
      </c>
      <c r="B17" s="55" t="s">
        <v>363</v>
      </c>
      <c r="C17" s="103" t="s">
        <v>341</v>
      </c>
      <c r="D17" s="104">
        <v>219664.08</v>
      </c>
      <c r="E17" s="103" t="s">
        <v>210</v>
      </c>
      <c r="F17" s="105" t="s">
        <v>352</v>
      </c>
      <c r="G17" s="103" t="s">
        <v>353</v>
      </c>
      <c r="H17" s="106"/>
      <c r="I17" s="114"/>
      <c r="J17" s="114"/>
    </row>
    <row r="18" spans="1:10" s="75" customFormat="1" ht="14.5">
      <c r="A18" s="103" t="s">
        <v>239</v>
      </c>
      <c r="B18" s="55" t="s">
        <v>364</v>
      </c>
      <c r="C18" s="103" t="s">
        <v>341</v>
      </c>
      <c r="D18" s="104">
        <v>99757.2</v>
      </c>
      <c r="E18" s="103" t="s">
        <v>210</v>
      </c>
      <c r="F18" s="105" t="s">
        <v>352</v>
      </c>
      <c r="G18" s="103" t="s">
        <v>353</v>
      </c>
      <c r="H18" s="106"/>
      <c r="I18" s="114"/>
      <c r="J18" s="114"/>
    </row>
    <row r="19" spans="1:10" s="75" customFormat="1" ht="14.5">
      <c r="A19" s="224">
        <v>45967</v>
      </c>
      <c r="B19" s="55" t="s">
        <v>365</v>
      </c>
      <c r="C19" s="103" t="s">
        <v>341</v>
      </c>
      <c r="D19" s="104">
        <v>407713.6</v>
      </c>
      <c r="E19" s="103" t="s">
        <v>210</v>
      </c>
      <c r="F19" s="103" t="s">
        <v>733</v>
      </c>
      <c r="G19" s="103" t="s">
        <v>353</v>
      </c>
      <c r="H19" s="106"/>
      <c r="I19" s="114"/>
      <c r="J19" s="114"/>
    </row>
    <row r="20" spans="1:10" s="75" customFormat="1" ht="14.5">
      <c r="A20" s="224">
        <v>45967</v>
      </c>
      <c r="B20" s="55" t="s">
        <v>366</v>
      </c>
      <c r="C20" s="103" t="s">
        <v>341</v>
      </c>
      <c r="D20" s="104">
        <v>99367.8</v>
      </c>
      <c r="E20" s="103" t="s">
        <v>210</v>
      </c>
      <c r="F20" s="103" t="s">
        <v>733</v>
      </c>
      <c r="G20" s="103" t="s">
        <v>353</v>
      </c>
      <c r="H20" s="106"/>
      <c r="I20" s="114"/>
      <c r="J20" s="114"/>
    </row>
    <row r="21" spans="1:10" s="75" customFormat="1" ht="14.5">
      <c r="A21" s="103" t="s">
        <v>289</v>
      </c>
      <c r="B21" s="55" t="s">
        <v>367</v>
      </c>
      <c r="C21" s="103" t="s">
        <v>341</v>
      </c>
      <c r="D21" s="104">
        <v>251481.60000000001</v>
      </c>
      <c r="E21" s="103" t="s">
        <v>210</v>
      </c>
      <c r="F21" s="103" t="s">
        <v>733</v>
      </c>
      <c r="G21" s="103" t="s">
        <v>353</v>
      </c>
      <c r="H21" s="106"/>
      <c r="I21" s="114"/>
      <c r="J21" s="114"/>
    </row>
    <row r="22" spans="1:10" s="75" customFormat="1" ht="14.5">
      <c r="A22" s="103" t="s">
        <v>289</v>
      </c>
      <c r="B22" s="55" t="s">
        <v>368</v>
      </c>
      <c r="C22" s="103" t="s">
        <v>341</v>
      </c>
      <c r="D22" s="104">
        <v>132537.60000000001</v>
      </c>
      <c r="E22" s="103" t="s">
        <v>210</v>
      </c>
      <c r="F22" s="235">
        <v>45665</v>
      </c>
      <c r="G22" s="103" t="s">
        <v>353</v>
      </c>
      <c r="H22" s="106"/>
      <c r="I22" s="114"/>
      <c r="J22" s="114"/>
    </row>
    <row r="23" spans="1:10" ht="14.5">
      <c r="A23" s="98">
        <v>45968</v>
      </c>
      <c r="B23" s="219" t="s">
        <v>730</v>
      </c>
      <c r="C23" s="100" t="s">
        <v>341</v>
      </c>
      <c r="D23" s="77">
        <v>321902.81999999995</v>
      </c>
    </row>
    <row r="24" spans="1:10" s="75" customFormat="1" ht="14.5">
      <c r="A24" s="101">
        <v>45968</v>
      </c>
      <c r="B24" s="234" t="s">
        <v>731</v>
      </c>
      <c r="C24" s="103" t="s">
        <v>341</v>
      </c>
      <c r="D24" s="104">
        <v>106182.29999999999</v>
      </c>
      <c r="E24" s="103" t="s">
        <v>210</v>
      </c>
      <c r="F24" s="235">
        <v>45665</v>
      </c>
      <c r="G24" s="103" t="s">
        <v>353</v>
      </c>
      <c r="H24" s="106"/>
      <c r="I24" s="114"/>
      <c r="J24" s="114"/>
    </row>
    <row r="25" spans="1:10" ht="14.5">
      <c r="A25" s="98">
        <v>45665</v>
      </c>
      <c r="B25" s="219" t="s">
        <v>755</v>
      </c>
      <c r="C25" s="100" t="s">
        <v>341</v>
      </c>
      <c r="D25" s="77">
        <v>49243.76</v>
      </c>
    </row>
    <row r="26" spans="1:10" ht="14.5">
      <c r="A26" s="98">
        <v>45665</v>
      </c>
      <c r="B26" s="240" t="s">
        <v>756</v>
      </c>
      <c r="C26" s="100" t="s">
        <v>341</v>
      </c>
      <c r="D26" s="77">
        <v>189447.82</v>
      </c>
    </row>
    <row r="27" spans="1:10" ht="14.5">
      <c r="A27" s="98">
        <v>45665</v>
      </c>
      <c r="B27" s="240" t="s">
        <v>757</v>
      </c>
      <c r="C27" s="100" t="s">
        <v>341</v>
      </c>
      <c r="D27" s="77">
        <v>267057.59999999998</v>
      </c>
    </row>
    <row r="28" spans="1:10">
      <c r="B28" s="100"/>
    </row>
  </sheetData>
  <autoFilter ref="A1:K6" xr:uid="{00000000-0009-0000-0000-000005000000}"/>
  <phoneticPr fontId="28" type="noConversion"/>
  <conditionalFormatting sqref="B11:B18">
    <cfRule type="duplicateValues" dxfId="2" priority="3"/>
  </conditionalFormatting>
  <conditionalFormatting sqref="B19:B20">
    <cfRule type="duplicateValues" dxfId="1" priority="2"/>
  </conditionalFormatting>
  <conditionalFormatting sqref="B21:B27">
    <cfRule type="duplicateValues" dxfId="0" priority="1"/>
  </conditionalFormatting>
  <pageMargins left="0.7" right="0.7" top="0.75" bottom="0.75" header="0.3" footer="0.3"/>
  <pageSetup paperSize="9" orientation="portrait" horizontalDpi="360" verticalDpi="36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H30"/>
  <sheetViews>
    <sheetView workbookViewId="0">
      <pane ySplit="1" topLeftCell="A5" activePane="bottomLeft" state="frozen"/>
      <selection pane="bottomLeft" activeCell="D17" sqref="D17"/>
    </sheetView>
  </sheetViews>
  <sheetFormatPr defaultColWidth="9.08984375" defaultRowHeight="13"/>
  <cols>
    <col min="1" max="1" width="15.36328125" style="58" customWidth="1"/>
    <col min="2" max="3" width="19.54296875" style="59" customWidth="1"/>
    <col min="4" max="4" width="34.90625" style="59" customWidth="1"/>
    <col min="5" max="5" width="27.54296875" style="59" customWidth="1"/>
    <col min="6" max="7" width="15.54296875" style="59" customWidth="1"/>
    <col min="8" max="8" width="20.08984375" style="59" customWidth="1"/>
    <col min="9" max="9" width="20.6328125" style="59" customWidth="1"/>
    <col min="10" max="10" width="5.453125" style="59" customWidth="1"/>
    <col min="11" max="11" width="12.453125" style="59" customWidth="1"/>
    <col min="12" max="12" width="5.1796875" style="59" customWidth="1"/>
    <col min="13" max="13" width="11.453125" style="59" customWidth="1"/>
    <col min="14" max="16384" width="9.08984375" style="59"/>
  </cols>
  <sheetData>
    <row r="1" spans="1:8" ht="29">
      <c r="A1" s="60" t="s">
        <v>2</v>
      </c>
      <c r="B1" s="61" t="s">
        <v>369</v>
      </c>
      <c r="C1" s="61" t="s">
        <v>370</v>
      </c>
      <c r="D1" s="61" t="s">
        <v>371</v>
      </c>
      <c r="E1" s="61" t="s">
        <v>372</v>
      </c>
      <c r="F1" s="61" t="s">
        <v>373</v>
      </c>
      <c r="G1" s="62" t="s">
        <v>374</v>
      </c>
    </row>
    <row r="2" spans="1:8" ht="14.5">
      <c r="A2" s="63"/>
      <c r="B2" s="64"/>
      <c r="C2" s="65" t="s">
        <v>166</v>
      </c>
      <c r="D2" s="65" t="s">
        <v>375</v>
      </c>
      <c r="E2" s="65">
        <v>2000</v>
      </c>
      <c r="F2" s="65"/>
      <c r="G2" s="65">
        <f>E2-F2</f>
        <v>2000</v>
      </c>
    </row>
    <row r="3" spans="1:8" ht="14.5">
      <c r="A3" s="66" t="s">
        <v>376</v>
      </c>
      <c r="B3" s="67"/>
      <c r="C3" s="68"/>
      <c r="D3" s="68" t="s">
        <v>377</v>
      </c>
      <c r="E3" s="68"/>
      <c r="F3" s="68">
        <v>1800</v>
      </c>
      <c r="G3" s="68">
        <f>G2-F3</f>
        <v>200</v>
      </c>
    </row>
    <row r="4" spans="1:8" ht="14.5">
      <c r="A4" s="69"/>
      <c r="B4" s="67"/>
      <c r="C4" s="68"/>
      <c r="D4" s="68" t="s">
        <v>378</v>
      </c>
      <c r="E4" s="68"/>
      <c r="F4" s="68">
        <v>100</v>
      </c>
      <c r="G4" s="68">
        <f t="shared" ref="G4:G12" si="0">G3-F4</f>
        <v>100</v>
      </c>
    </row>
    <row r="5" spans="1:8" ht="14.5">
      <c r="A5" s="69"/>
      <c r="B5" s="67"/>
      <c r="C5" s="68"/>
      <c r="D5" s="68" t="s">
        <v>379</v>
      </c>
      <c r="E5" s="68"/>
      <c r="F5" s="68">
        <v>40</v>
      </c>
      <c r="G5" s="68">
        <f t="shared" si="0"/>
        <v>60</v>
      </c>
    </row>
    <row r="6" spans="1:8" ht="14.5">
      <c r="A6" s="69"/>
      <c r="B6" s="67"/>
      <c r="C6" s="67"/>
      <c r="D6" s="68" t="s">
        <v>380</v>
      </c>
      <c r="E6" s="67"/>
      <c r="F6" s="68">
        <v>54</v>
      </c>
      <c r="G6" s="68">
        <f t="shared" si="0"/>
        <v>6</v>
      </c>
    </row>
    <row r="7" spans="1:8" ht="14.5">
      <c r="A7" s="70">
        <v>45815</v>
      </c>
      <c r="B7" s="71"/>
      <c r="C7" s="71" t="s">
        <v>166</v>
      </c>
      <c r="D7" s="65" t="s">
        <v>375</v>
      </c>
      <c r="E7" s="71">
        <v>2000</v>
      </c>
      <c r="F7" s="71"/>
      <c r="G7" s="68">
        <f>G6+E7</f>
        <v>2006</v>
      </c>
    </row>
    <row r="8" spans="1:8" ht="14.5">
      <c r="A8" s="70">
        <v>45817</v>
      </c>
      <c r="B8" s="71"/>
      <c r="C8" s="71"/>
      <c r="D8" s="71" t="s">
        <v>381</v>
      </c>
      <c r="E8" s="71"/>
      <c r="F8" s="71">
        <v>1800</v>
      </c>
      <c r="G8" s="68">
        <f t="shared" si="0"/>
        <v>206</v>
      </c>
    </row>
    <row r="9" spans="1:8" ht="14.5">
      <c r="A9" s="70" t="s">
        <v>382</v>
      </c>
      <c r="B9" s="71"/>
      <c r="C9" s="71"/>
      <c r="D9" s="71" t="s">
        <v>383</v>
      </c>
      <c r="E9" s="71"/>
      <c r="F9" s="71">
        <v>40</v>
      </c>
      <c r="G9" s="68">
        <f t="shared" si="0"/>
        <v>166</v>
      </c>
    </row>
    <row r="10" spans="1:8" ht="14.5">
      <c r="A10" s="70">
        <v>45822</v>
      </c>
      <c r="B10" s="71"/>
      <c r="C10" s="71"/>
      <c r="D10" s="68" t="s">
        <v>378</v>
      </c>
      <c r="E10" s="71"/>
      <c r="F10" s="71">
        <v>100</v>
      </c>
      <c r="G10" s="68">
        <f t="shared" si="0"/>
        <v>66</v>
      </c>
    </row>
    <row r="11" spans="1:8" ht="14.5">
      <c r="A11" s="70">
        <v>45832</v>
      </c>
      <c r="B11" s="71"/>
      <c r="C11" s="71"/>
      <c r="D11" s="71" t="s">
        <v>384</v>
      </c>
      <c r="E11" s="71"/>
      <c r="F11" s="71">
        <v>10</v>
      </c>
      <c r="G11" s="68">
        <f t="shared" si="0"/>
        <v>56</v>
      </c>
    </row>
    <row r="12" spans="1:8" ht="26.5">
      <c r="A12" s="70"/>
      <c r="B12" s="71"/>
      <c r="C12" s="71"/>
      <c r="D12" s="71" t="s">
        <v>726</v>
      </c>
      <c r="E12" s="71" t="s">
        <v>728</v>
      </c>
      <c r="F12" s="71">
        <v>55</v>
      </c>
      <c r="G12" s="68">
        <f t="shared" si="0"/>
        <v>1</v>
      </c>
      <c r="H12" s="59" t="s">
        <v>727</v>
      </c>
    </row>
    <row r="13" spans="1:8" ht="14.5">
      <c r="A13" s="70">
        <v>45850</v>
      </c>
      <c r="B13" s="71"/>
      <c r="C13" s="71" t="s">
        <v>729</v>
      </c>
      <c r="D13" s="71" t="s">
        <v>375</v>
      </c>
      <c r="E13" s="71">
        <v>2000</v>
      </c>
      <c r="F13" s="71"/>
      <c r="G13" s="68">
        <f>G12+E13</f>
        <v>2001</v>
      </c>
    </row>
    <row r="14" spans="1:8" ht="14.4" customHeight="1">
      <c r="A14" s="70">
        <v>45850</v>
      </c>
      <c r="B14" s="71"/>
      <c r="C14" s="71"/>
      <c r="D14" s="71" t="s">
        <v>381</v>
      </c>
      <c r="E14" s="71"/>
      <c r="F14" s="71">
        <v>1800</v>
      </c>
      <c r="G14" s="68">
        <f>G13-F14</f>
        <v>201</v>
      </c>
    </row>
    <row r="15" spans="1:8" ht="14.5">
      <c r="A15" s="70" t="s">
        <v>736</v>
      </c>
      <c r="B15" s="71"/>
      <c r="C15" s="71"/>
      <c r="D15" s="71" t="s">
        <v>734</v>
      </c>
      <c r="E15" s="71"/>
      <c r="F15" s="71">
        <f>35+20</f>
        <v>55</v>
      </c>
      <c r="G15" s="68">
        <f>G14-F15</f>
        <v>146</v>
      </c>
    </row>
    <row r="16" spans="1:8" ht="14.5">
      <c r="A16" s="70" t="s">
        <v>736</v>
      </c>
      <c r="B16" s="71"/>
      <c r="C16" s="71"/>
      <c r="D16" s="71" t="s">
        <v>735</v>
      </c>
      <c r="E16" s="71"/>
      <c r="F16" s="71">
        <v>100</v>
      </c>
      <c r="G16" s="68">
        <f>G15-F16</f>
        <v>46</v>
      </c>
    </row>
    <row r="17" spans="1:7" ht="14.5">
      <c r="A17" s="70"/>
      <c r="B17" s="71"/>
      <c r="C17" s="71"/>
      <c r="D17" s="71" t="s">
        <v>739</v>
      </c>
      <c r="E17" s="71"/>
      <c r="F17" s="71">
        <v>20</v>
      </c>
      <c r="G17" s="68">
        <f>G16-F17</f>
        <v>26</v>
      </c>
    </row>
    <row r="18" spans="1:7">
      <c r="A18" s="70"/>
      <c r="B18" s="71"/>
      <c r="C18" s="71"/>
      <c r="D18" s="71"/>
      <c r="E18" s="71"/>
      <c r="F18" s="71"/>
      <c r="G18" s="71"/>
    </row>
    <row r="19" spans="1:7">
      <c r="A19" s="70"/>
      <c r="B19" s="71"/>
      <c r="C19" s="71"/>
      <c r="D19" s="71"/>
      <c r="E19" s="71"/>
      <c r="F19" s="71"/>
      <c r="G19" s="71"/>
    </row>
    <row r="30" spans="1:7" ht="14.5">
      <c r="F30" s="72"/>
    </row>
  </sheetData>
  <pageMargins left="0.7" right="0.7" top="0.75" bottom="0.75" header="0.3" footer="0.3"/>
  <pageSetup paperSize="9" orientation="portrait" horizontalDpi="360" verticalDpi="36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031A56-F68D-4060-A3F1-173CEB9FCC14}">
  <dimension ref="A1:H146"/>
  <sheetViews>
    <sheetView topLeftCell="A4" workbookViewId="0">
      <selection activeCell="B16" sqref="B16"/>
    </sheetView>
  </sheetViews>
  <sheetFormatPr defaultRowHeight="14.5"/>
  <cols>
    <col min="1" max="1" width="10.453125" bestFit="1" customWidth="1"/>
    <col min="2" max="2" width="12.6328125" style="245" customWidth="1"/>
    <col min="3" max="3" width="33.81640625" customWidth="1"/>
    <col min="4" max="4" width="15.453125" style="255" bestFit="1" customWidth="1"/>
    <col min="5" max="5" width="8.81640625" customWidth="1"/>
    <col min="6" max="6" width="17.81640625" bestFit="1" customWidth="1"/>
    <col min="7" max="7" width="9.36328125" bestFit="1" customWidth="1"/>
  </cols>
  <sheetData>
    <row r="1" spans="1:8" s="244" customFormat="1" ht="18.5">
      <c r="A1" s="285" t="s">
        <v>760</v>
      </c>
      <c r="B1" s="286"/>
      <c r="C1" s="286"/>
      <c r="D1" s="286"/>
      <c r="E1" s="286"/>
      <c r="F1" s="286"/>
      <c r="G1" s="286"/>
      <c r="H1" s="286"/>
    </row>
    <row r="2" spans="1:8" ht="15" thickBot="1">
      <c r="D2" s="246"/>
    </row>
    <row r="3" spans="1:8" s="252" customFormat="1" ht="16" thickBot="1">
      <c r="A3" s="247" t="s">
        <v>193</v>
      </c>
      <c r="B3" s="248" t="s">
        <v>761</v>
      </c>
      <c r="C3" s="249" t="s">
        <v>762</v>
      </c>
      <c r="D3" s="250" t="s">
        <v>763</v>
      </c>
      <c r="E3" s="249" t="s">
        <v>764</v>
      </c>
      <c r="F3" s="249" t="s">
        <v>765</v>
      </c>
      <c r="G3" s="251" t="s">
        <v>766</v>
      </c>
      <c r="H3" s="251" t="s">
        <v>767</v>
      </c>
    </row>
    <row r="4" spans="1:8">
      <c r="A4" s="130">
        <v>45995</v>
      </c>
      <c r="B4" s="253">
        <v>89957</v>
      </c>
      <c r="C4" s="53" t="s">
        <v>16</v>
      </c>
      <c r="D4" s="254">
        <v>10000</v>
      </c>
      <c r="E4" s="132"/>
      <c r="F4" s="132"/>
      <c r="G4" s="132"/>
      <c r="H4" s="189"/>
    </row>
    <row r="5" spans="1:8">
      <c r="A5" s="132" t="s">
        <v>768</v>
      </c>
      <c r="B5" s="253">
        <v>89958</v>
      </c>
      <c r="C5" s="26" t="s">
        <v>226</v>
      </c>
      <c r="D5" s="254">
        <v>3894</v>
      </c>
      <c r="E5" s="132"/>
      <c r="F5" s="132" t="s">
        <v>239</v>
      </c>
      <c r="G5" s="132"/>
      <c r="H5" s="189"/>
    </row>
    <row r="6" spans="1:8">
      <c r="A6" s="132" t="s">
        <v>355</v>
      </c>
      <c r="B6" s="253">
        <v>89959</v>
      </c>
      <c r="C6" s="53" t="s">
        <v>769</v>
      </c>
      <c r="D6" s="254">
        <v>1000000</v>
      </c>
      <c r="E6" s="132"/>
      <c r="F6" s="132" t="s">
        <v>355</v>
      </c>
      <c r="G6" s="132"/>
      <c r="H6" s="189"/>
    </row>
    <row r="7" spans="1:8">
      <c r="A7" s="132" t="s">
        <v>770</v>
      </c>
      <c r="B7" s="253">
        <v>89960</v>
      </c>
      <c r="C7" s="26" t="s">
        <v>226</v>
      </c>
      <c r="D7" s="254">
        <v>7198</v>
      </c>
      <c r="E7" s="132"/>
      <c r="F7" s="132" t="s">
        <v>255</v>
      </c>
      <c r="G7" s="132"/>
      <c r="H7" s="189"/>
    </row>
    <row r="8" spans="1:8">
      <c r="A8" s="256" t="s">
        <v>292</v>
      </c>
      <c r="B8" s="253">
        <v>89961</v>
      </c>
      <c r="C8" s="256" t="s">
        <v>775</v>
      </c>
      <c r="D8" s="254">
        <v>21868</v>
      </c>
      <c r="E8" s="132"/>
      <c r="F8" s="256" t="s">
        <v>292</v>
      </c>
      <c r="G8" s="132"/>
      <c r="H8" s="189"/>
    </row>
    <row r="9" spans="1:8">
      <c r="A9" s="256" t="s">
        <v>301</v>
      </c>
      <c r="B9" s="253">
        <v>89962</v>
      </c>
      <c r="C9" s="256" t="s">
        <v>776</v>
      </c>
      <c r="D9" s="254">
        <v>42596</v>
      </c>
      <c r="E9" s="132"/>
      <c r="F9" s="130">
        <v>45723</v>
      </c>
      <c r="G9" s="132"/>
      <c r="H9" s="189"/>
    </row>
    <row r="10" spans="1:8">
      <c r="A10" s="130">
        <v>45723</v>
      </c>
      <c r="B10" s="253">
        <v>89963</v>
      </c>
      <c r="C10" s="256" t="s">
        <v>777</v>
      </c>
      <c r="D10" s="254">
        <v>16000</v>
      </c>
      <c r="E10" s="132"/>
      <c r="F10" s="130">
        <v>45723</v>
      </c>
      <c r="G10" s="132"/>
      <c r="H10" s="189"/>
    </row>
    <row r="11" spans="1:8">
      <c r="A11" s="132"/>
      <c r="B11" s="253">
        <v>89964</v>
      </c>
      <c r="C11" s="256" t="s">
        <v>771</v>
      </c>
      <c r="D11" s="254"/>
      <c r="E11" s="132"/>
      <c r="F11" s="132"/>
      <c r="G11" s="132"/>
      <c r="H11" s="132"/>
    </row>
    <row r="12" spans="1:8">
      <c r="A12" s="132"/>
      <c r="B12" s="253">
        <v>89965</v>
      </c>
      <c r="C12" s="256" t="s">
        <v>771</v>
      </c>
      <c r="D12" s="254"/>
      <c r="E12" s="132"/>
      <c r="F12" s="132"/>
      <c r="G12" s="132"/>
      <c r="H12" s="132"/>
    </row>
    <row r="13" spans="1:8">
      <c r="A13" s="130">
        <v>45907</v>
      </c>
      <c r="B13" s="253">
        <v>89966</v>
      </c>
      <c r="C13" s="256" t="s">
        <v>238</v>
      </c>
      <c r="D13" s="254"/>
      <c r="E13" s="132"/>
      <c r="F13" s="130">
        <v>45908</v>
      </c>
      <c r="G13" s="132"/>
      <c r="H13" s="132"/>
    </row>
    <row r="14" spans="1:8">
      <c r="A14" s="256" t="s">
        <v>772</v>
      </c>
      <c r="B14" s="253">
        <v>89967</v>
      </c>
      <c r="C14" s="256" t="s">
        <v>773</v>
      </c>
      <c r="D14" s="254">
        <v>500000</v>
      </c>
      <c r="E14" s="256" t="s">
        <v>778</v>
      </c>
      <c r="F14" s="132"/>
      <c r="G14" s="132"/>
      <c r="H14" s="132"/>
    </row>
    <row r="15" spans="1:8">
      <c r="A15" s="256" t="s">
        <v>772</v>
      </c>
      <c r="B15" s="253">
        <v>89968</v>
      </c>
      <c r="C15" s="256" t="s">
        <v>774</v>
      </c>
      <c r="D15" s="254">
        <v>186482</v>
      </c>
      <c r="E15" s="132"/>
      <c r="F15" s="132"/>
      <c r="G15" s="132"/>
      <c r="H15" s="132"/>
    </row>
    <row r="16" spans="1:8">
      <c r="A16" s="130">
        <v>45785</v>
      </c>
      <c r="B16" s="253">
        <v>89969</v>
      </c>
      <c r="C16" s="256" t="s">
        <v>771</v>
      </c>
      <c r="D16" s="254"/>
      <c r="E16" s="256" t="s">
        <v>779</v>
      </c>
      <c r="F16" s="132"/>
      <c r="G16" s="132"/>
      <c r="H16" s="132"/>
    </row>
    <row r="17" spans="1:8">
      <c r="A17" s="130">
        <v>45877</v>
      </c>
      <c r="B17" s="253">
        <v>89970</v>
      </c>
      <c r="C17" s="26" t="s">
        <v>226</v>
      </c>
      <c r="D17" s="254">
        <v>4602</v>
      </c>
      <c r="E17" s="132"/>
      <c r="F17" s="130">
        <v>45878</v>
      </c>
      <c r="G17" s="132"/>
      <c r="H17" s="132"/>
    </row>
    <row r="18" spans="1:8">
      <c r="A18" s="257"/>
      <c r="B18" s="53"/>
      <c r="C18" s="132"/>
      <c r="D18" s="254"/>
      <c r="E18" s="132"/>
      <c r="F18" s="132"/>
      <c r="G18" s="132"/>
      <c r="H18" s="132"/>
    </row>
    <row r="19" spans="1:8">
      <c r="A19" s="132"/>
      <c r="B19" s="53"/>
      <c r="C19" s="132"/>
      <c r="D19" s="254"/>
      <c r="E19" s="132"/>
      <c r="F19" s="132"/>
      <c r="G19" s="132"/>
      <c r="H19" s="132"/>
    </row>
    <row r="20" spans="1:8">
      <c r="A20" s="132"/>
      <c r="B20" s="53"/>
      <c r="C20" s="132"/>
      <c r="D20" s="254"/>
      <c r="E20" s="132"/>
      <c r="F20" s="132"/>
      <c r="G20" s="132"/>
      <c r="H20" s="132"/>
    </row>
    <row r="21" spans="1:8">
      <c r="A21" s="132"/>
      <c r="B21" s="53"/>
      <c r="C21" s="132"/>
      <c r="D21" s="254"/>
      <c r="E21" s="132"/>
      <c r="F21" s="132"/>
      <c r="G21" s="132"/>
      <c r="H21" s="132"/>
    </row>
    <row r="22" spans="1:8">
      <c r="A22" s="132"/>
      <c r="B22" s="53"/>
      <c r="C22" s="132"/>
      <c r="D22" s="254"/>
      <c r="E22" s="132"/>
      <c r="F22" s="132"/>
      <c r="G22" s="132"/>
      <c r="H22" s="132"/>
    </row>
    <row r="23" spans="1:8">
      <c r="A23" s="132"/>
      <c r="B23" s="53"/>
      <c r="C23" s="132"/>
      <c r="D23" s="254"/>
      <c r="E23" s="132"/>
      <c r="F23" s="132"/>
      <c r="G23" s="132"/>
      <c r="H23" s="132"/>
    </row>
    <row r="24" spans="1:8">
      <c r="A24" s="132"/>
      <c r="B24" s="53"/>
      <c r="C24" s="132"/>
      <c r="D24" s="254"/>
      <c r="E24" s="132"/>
      <c r="F24" s="132"/>
      <c r="G24" s="132"/>
      <c r="H24" s="132"/>
    </row>
    <row r="25" spans="1:8">
      <c r="A25" s="132"/>
      <c r="B25" s="53"/>
      <c r="C25" s="132"/>
      <c r="D25" s="254"/>
      <c r="E25" s="132"/>
      <c r="F25" s="132"/>
      <c r="G25" s="132"/>
      <c r="H25" s="132"/>
    </row>
    <row r="26" spans="1:8">
      <c r="A26" s="132"/>
      <c r="B26" s="53"/>
      <c r="C26" s="132"/>
      <c r="D26" s="254"/>
      <c r="E26" s="132"/>
      <c r="F26" s="132"/>
      <c r="G26" s="132"/>
      <c r="H26" s="132"/>
    </row>
    <row r="27" spans="1:8">
      <c r="A27" s="132"/>
      <c r="B27" s="53"/>
      <c r="C27" s="132"/>
      <c r="D27" s="254"/>
      <c r="E27" s="132"/>
      <c r="F27" s="132"/>
      <c r="G27" s="132"/>
      <c r="H27" s="132"/>
    </row>
    <row r="28" spans="1:8">
      <c r="A28" s="132"/>
      <c r="B28" s="53"/>
      <c r="C28" s="132"/>
      <c r="D28" s="254"/>
      <c r="E28" s="132"/>
      <c r="F28" s="132"/>
      <c r="G28" s="132"/>
      <c r="H28" s="132"/>
    </row>
    <row r="29" spans="1:8">
      <c r="A29" s="132"/>
      <c r="B29" s="53"/>
      <c r="C29" s="132"/>
      <c r="D29" s="254"/>
      <c r="E29" s="132"/>
      <c r="F29" s="132"/>
      <c r="G29" s="132"/>
      <c r="H29" s="132"/>
    </row>
    <row r="30" spans="1:8">
      <c r="A30" s="132"/>
      <c r="B30" s="53"/>
      <c r="C30" s="132"/>
      <c r="D30" s="254"/>
      <c r="E30" s="132"/>
      <c r="F30" s="132"/>
      <c r="G30" s="132"/>
      <c r="H30" s="132"/>
    </row>
    <row r="31" spans="1:8">
      <c r="A31" s="132"/>
      <c r="B31" s="53"/>
      <c r="C31" s="132"/>
      <c r="D31" s="254"/>
      <c r="E31" s="132"/>
      <c r="F31" s="132"/>
      <c r="G31" s="132"/>
      <c r="H31" s="132"/>
    </row>
    <row r="32" spans="1:8">
      <c r="A32" s="132"/>
      <c r="B32" s="53"/>
      <c r="C32" s="132"/>
      <c r="D32" s="254"/>
      <c r="E32" s="132"/>
      <c r="F32" s="132"/>
      <c r="G32" s="132"/>
      <c r="H32" s="132"/>
    </row>
    <row r="33" spans="1:8">
      <c r="A33" s="132"/>
      <c r="B33" s="53"/>
      <c r="C33" s="132"/>
      <c r="D33" s="254"/>
      <c r="E33" s="132"/>
      <c r="F33" s="132"/>
      <c r="G33" s="132"/>
      <c r="H33" s="132"/>
    </row>
    <row r="34" spans="1:8">
      <c r="A34" s="132"/>
      <c r="B34" s="53"/>
      <c r="C34" s="132"/>
      <c r="D34" s="254"/>
      <c r="E34" s="132"/>
      <c r="F34" s="132"/>
      <c r="G34" s="132"/>
      <c r="H34" s="132"/>
    </row>
    <row r="35" spans="1:8">
      <c r="A35" s="132"/>
      <c r="B35" s="53"/>
      <c r="C35" s="132"/>
      <c r="D35" s="254"/>
      <c r="E35" s="132"/>
      <c r="F35" s="132"/>
      <c r="G35" s="132"/>
      <c r="H35" s="132"/>
    </row>
    <row r="36" spans="1:8">
      <c r="A36" s="132"/>
      <c r="B36" s="53"/>
      <c r="C36" s="132"/>
      <c r="D36" s="254"/>
      <c r="E36" s="132"/>
      <c r="F36" s="132"/>
      <c r="G36" s="132"/>
      <c r="H36" s="132"/>
    </row>
    <row r="37" spans="1:8">
      <c r="A37" s="132"/>
      <c r="B37" s="53"/>
      <c r="C37" s="132"/>
      <c r="D37" s="254"/>
      <c r="E37" s="132"/>
      <c r="F37" s="132"/>
      <c r="G37" s="132"/>
      <c r="H37" s="132"/>
    </row>
    <row r="38" spans="1:8">
      <c r="A38" s="132"/>
      <c r="B38" s="53"/>
      <c r="C38" s="132"/>
      <c r="D38" s="254"/>
      <c r="E38" s="132"/>
      <c r="F38" s="132"/>
      <c r="G38" s="132"/>
      <c r="H38" s="132"/>
    </row>
    <row r="39" spans="1:8">
      <c r="A39" s="132"/>
      <c r="B39" s="53"/>
      <c r="C39" s="132"/>
      <c r="D39" s="254"/>
      <c r="E39" s="132"/>
      <c r="F39" s="132"/>
      <c r="G39" s="132"/>
      <c r="H39" s="132"/>
    </row>
    <row r="40" spans="1:8">
      <c r="A40" s="132"/>
      <c r="B40" s="53"/>
      <c r="C40" s="132"/>
      <c r="D40" s="254"/>
      <c r="E40" s="132"/>
      <c r="F40" s="132"/>
      <c r="G40" s="132"/>
      <c r="H40" s="132"/>
    </row>
    <row r="41" spans="1:8">
      <c r="A41" s="132"/>
      <c r="B41" s="53"/>
      <c r="C41" s="132"/>
      <c r="D41" s="254"/>
      <c r="E41" s="132"/>
      <c r="F41" s="132"/>
      <c r="G41" s="132"/>
      <c r="H41" s="132"/>
    </row>
    <row r="42" spans="1:8">
      <c r="A42" s="132"/>
      <c r="B42" s="53"/>
      <c r="C42" s="132"/>
      <c r="D42" s="254"/>
      <c r="E42" s="132"/>
      <c r="F42" s="132"/>
      <c r="G42" s="132"/>
      <c r="H42" s="132"/>
    </row>
    <row r="43" spans="1:8">
      <c r="A43" s="132"/>
      <c r="B43" s="53"/>
      <c r="C43" s="132"/>
      <c r="D43" s="254"/>
      <c r="E43" s="132"/>
      <c r="F43" s="132"/>
      <c r="G43" s="132"/>
      <c r="H43" s="132"/>
    </row>
    <row r="44" spans="1:8">
      <c r="A44" s="132"/>
      <c r="B44" s="53"/>
      <c r="C44" s="132"/>
      <c r="D44" s="254"/>
      <c r="E44" s="132"/>
      <c r="F44" s="132"/>
      <c r="G44" s="132"/>
      <c r="H44" s="132"/>
    </row>
    <row r="45" spans="1:8">
      <c r="A45" s="132"/>
      <c r="B45" s="53"/>
      <c r="C45" s="132"/>
      <c r="D45" s="254"/>
      <c r="E45" s="132"/>
      <c r="F45" s="132"/>
      <c r="G45" s="132"/>
      <c r="H45" s="132"/>
    </row>
    <row r="46" spans="1:8">
      <c r="A46" s="132"/>
      <c r="B46" s="53"/>
      <c r="C46" s="132"/>
      <c r="D46" s="254"/>
      <c r="E46" s="132"/>
      <c r="F46" s="132"/>
      <c r="G46" s="132"/>
      <c r="H46" s="132"/>
    </row>
    <row r="47" spans="1:8">
      <c r="A47" s="132"/>
      <c r="B47" s="53"/>
      <c r="C47" s="132"/>
      <c r="D47" s="254"/>
      <c r="E47" s="132"/>
      <c r="F47" s="132"/>
      <c r="G47" s="132"/>
      <c r="H47" s="132"/>
    </row>
    <row r="48" spans="1:8">
      <c r="A48" s="132"/>
      <c r="B48" s="53"/>
      <c r="C48" s="132"/>
      <c r="D48" s="254"/>
      <c r="E48" s="132"/>
      <c r="F48" s="132"/>
      <c r="G48" s="132"/>
      <c r="H48" s="132"/>
    </row>
    <row r="49" spans="1:8">
      <c r="A49" s="132"/>
      <c r="B49" s="53"/>
      <c r="C49" s="132"/>
      <c r="D49" s="254"/>
      <c r="E49" s="132"/>
      <c r="F49" s="132"/>
      <c r="G49" s="132"/>
      <c r="H49" s="132"/>
    </row>
    <row r="50" spans="1:8">
      <c r="A50" s="132"/>
      <c r="B50" s="53"/>
      <c r="C50" s="132"/>
      <c r="D50" s="254"/>
      <c r="E50" s="132"/>
      <c r="F50" s="132"/>
      <c r="G50" s="132"/>
      <c r="H50" s="132"/>
    </row>
    <row r="51" spans="1:8">
      <c r="A51" s="132"/>
      <c r="B51" s="53"/>
      <c r="C51" s="132"/>
      <c r="D51" s="254"/>
      <c r="E51" s="132"/>
      <c r="F51" s="132"/>
      <c r="G51" s="132"/>
      <c r="H51" s="132"/>
    </row>
    <row r="52" spans="1:8">
      <c r="A52" s="132"/>
      <c r="B52" s="53"/>
      <c r="C52" s="132"/>
      <c r="D52" s="254"/>
      <c r="E52" s="132"/>
      <c r="F52" s="132"/>
      <c r="G52" s="132"/>
      <c r="H52" s="132"/>
    </row>
    <row r="53" spans="1:8">
      <c r="A53" s="132"/>
      <c r="B53" s="53"/>
      <c r="C53" s="132"/>
      <c r="D53" s="254"/>
      <c r="E53" s="132"/>
      <c r="F53" s="132"/>
      <c r="G53" s="132"/>
      <c r="H53" s="132"/>
    </row>
    <row r="54" spans="1:8">
      <c r="A54" s="132"/>
      <c r="B54" s="53"/>
      <c r="C54" s="132"/>
      <c r="D54" s="254"/>
      <c r="E54" s="132"/>
      <c r="F54" s="132"/>
      <c r="G54" s="132"/>
      <c r="H54" s="132"/>
    </row>
    <row r="55" spans="1:8">
      <c r="A55" s="132"/>
      <c r="B55" s="53"/>
      <c r="C55" s="132"/>
      <c r="D55" s="254"/>
      <c r="E55" s="132"/>
      <c r="F55" s="132"/>
      <c r="G55" s="132"/>
      <c r="H55" s="132"/>
    </row>
    <row r="56" spans="1:8">
      <c r="A56" s="132"/>
      <c r="B56" s="53"/>
      <c r="C56" s="132"/>
      <c r="D56" s="254"/>
      <c r="E56" s="132"/>
      <c r="F56" s="132"/>
      <c r="G56" s="132"/>
      <c r="H56" s="132"/>
    </row>
    <row r="57" spans="1:8">
      <c r="A57" s="132"/>
      <c r="B57" s="53"/>
      <c r="C57" s="132"/>
      <c r="D57" s="254"/>
      <c r="E57" s="132"/>
      <c r="F57" s="132"/>
      <c r="G57" s="132"/>
      <c r="H57" s="132"/>
    </row>
    <row r="58" spans="1:8">
      <c r="A58" s="132"/>
      <c r="B58" s="53"/>
      <c r="C58" s="132"/>
      <c r="D58" s="254"/>
      <c r="E58" s="132"/>
      <c r="F58" s="132"/>
      <c r="G58" s="132"/>
      <c r="H58" s="132"/>
    </row>
    <row r="59" spans="1:8">
      <c r="A59" s="132"/>
      <c r="B59" s="53"/>
      <c r="C59" s="132"/>
      <c r="D59" s="254"/>
      <c r="E59" s="132"/>
      <c r="F59" s="132"/>
      <c r="G59" s="132"/>
      <c r="H59" s="132"/>
    </row>
    <row r="60" spans="1:8">
      <c r="A60" s="132"/>
      <c r="B60" s="53"/>
      <c r="C60" s="132"/>
      <c r="D60" s="254"/>
      <c r="E60" s="132"/>
      <c r="F60" s="132"/>
      <c r="G60" s="132"/>
      <c r="H60" s="132"/>
    </row>
    <row r="61" spans="1:8">
      <c r="A61" s="132"/>
      <c r="B61" s="53"/>
      <c r="C61" s="132"/>
      <c r="D61" s="254"/>
      <c r="E61" s="132"/>
      <c r="F61" s="132"/>
      <c r="G61" s="132"/>
      <c r="H61" s="132"/>
    </row>
    <row r="62" spans="1:8">
      <c r="A62" s="132"/>
      <c r="B62" s="53"/>
      <c r="C62" s="132"/>
      <c r="D62" s="254"/>
      <c r="E62" s="132"/>
      <c r="F62" s="132"/>
      <c r="G62" s="132"/>
      <c r="H62" s="132"/>
    </row>
    <row r="63" spans="1:8">
      <c r="A63" s="132"/>
      <c r="B63" s="53"/>
      <c r="C63" s="132"/>
      <c r="D63" s="254"/>
      <c r="E63" s="132"/>
      <c r="F63" s="132"/>
      <c r="G63" s="132"/>
      <c r="H63" s="132"/>
    </row>
    <row r="64" spans="1:8">
      <c r="A64" s="132"/>
      <c r="B64" s="53"/>
      <c r="C64" s="132"/>
      <c r="D64" s="254"/>
      <c r="E64" s="132"/>
      <c r="F64" s="132"/>
      <c r="G64" s="132"/>
      <c r="H64" s="132"/>
    </row>
    <row r="65" spans="1:8">
      <c r="A65" s="132"/>
      <c r="B65" s="53"/>
      <c r="C65" s="132"/>
      <c r="D65" s="254"/>
      <c r="E65" s="132"/>
      <c r="F65" s="132"/>
      <c r="G65" s="132"/>
      <c r="H65" s="132"/>
    </row>
    <row r="66" spans="1:8">
      <c r="A66" s="132"/>
      <c r="B66" s="53"/>
      <c r="C66" s="132"/>
      <c r="D66" s="254"/>
      <c r="E66" s="132"/>
      <c r="F66" s="132"/>
      <c r="G66" s="132"/>
      <c r="H66" s="132"/>
    </row>
    <row r="67" spans="1:8">
      <c r="A67" s="132"/>
      <c r="B67" s="53"/>
      <c r="C67" s="132"/>
      <c r="D67" s="254"/>
      <c r="E67" s="132"/>
      <c r="F67" s="132"/>
      <c r="G67" s="132"/>
      <c r="H67" s="132"/>
    </row>
    <row r="68" spans="1:8">
      <c r="A68" s="132"/>
      <c r="B68" s="53"/>
      <c r="C68" s="132"/>
      <c r="D68" s="254"/>
      <c r="E68" s="132"/>
      <c r="F68" s="132"/>
      <c r="G68" s="132"/>
      <c r="H68" s="132"/>
    </row>
    <row r="69" spans="1:8">
      <c r="A69" s="132"/>
      <c r="B69" s="53"/>
      <c r="C69" s="132"/>
      <c r="D69" s="254"/>
      <c r="E69" s="132"/>
      <c r="F69" s="132"/>
      <c r="G69" s="132"/>
      <c r="H69" s="132"/>
    </row>
    <row r="70" spans="1:8">
      <c r="A70" s="132"/>
      <c r="B70" s="53"/>
      <c r="C70" s="132"/>
      <c r="D70" s="254"/>
      <c r="E70" s="132"/>
      <c r="F70" s="132"/>
      <c r="G70" s="132"/>
      <c r="H70" s="132"/>
    </row>
    <row r="71" spans="1:8">
      <c r="A71" s="132"/>
      <c r="B71" s="53"/>
      <c r="C71" s="132"/>
      <c r="D71" s="254"/>
      <c r="E71" s="132"/>
      <c r="F71" s="132"/>
      <c r="G71" s="132"/>
      <c r="H71" s="132"/>
    </row>
    <row r="72" spans="1:8">
      <c r="A72" s="132"/>
      <c r="B72" s="53"/>
      <c r="C72" s="132"/>
      <c r="D72" s="254"/>
      <c r="E72" s="132"/>
      <c r="F72" s="132"/>
      <c r="G72" s="132"/>
      <c r="H72" s="132"/>
    </row>
    <row r="73" spans="1:8">
      <c r="A73" s="132"/>
      <c r="B73" s="53"/>
      <c r="C73" s="132"/>
      <c r="D73" s="254"/>
      <c r="E73" s="132"/>
      <c r="F73" s="132"/>
      <c r="G73" s="132"/>
      <c r="H73" s="132"/>
    </row>
    <row r="74" spans="1:8">
      <c r="A74" s="132"/>
      <c r="B74" s="53"/>
      <c r="C74" s="132"/>
      <c r="D74" s="254"/>
      <c r="E74" s="132"/>
      <c r="F74" s="132"/>
      <c r="G74" s="132"/>
      <c r="H74" s="132"/>
    </row>
    <row r="75" spans="1:8">
      <c r="A75" s="132"/>
      <c r="B75" s="53"/>
      <c r="C75" s="132"/>
      <c r="D75" s="254"/>
      <c r="E75" s="132"/>
      <c r="F75" s="132"/>
      <c r="G75" s="132"/>
      <c r="H75" s="132"/>
    </row>
    <row r="76" spans="1:8">
      <c r="A76" s="132"/>
      <c r="B76" s="53"/>
      <c r="C76" s="132"/>
      <c r="D76" s="254"/>
      <c r="E76" s="132"/>
      <c r="F76" s="132"/>
      <c r="G76" s="132"/>
      <c r="H76" s="132"/>
    </row>
    <row r="77" spans="1:8">
      <c r="A77" s="132"/>
      <c r="B77" s="53"/>
      <c r="C77" s="132"/>
      <c r="D77" s="254"/>
      <c r="E77" s="132"/>
      <c r="F77" s="132"/>
      <c r="G77" s="132"/>
      <c r="H77" s="132"/>
    </row>
    <row r="78" spans="1:8">
      <c r="A78" s="132"/>
      <c r="B78" s="53"/>
      <c r="C78" s="132"/>
      <c r="D78" s="254"/>
      <c r="E78" s="132"/>
      <c r="F78" s="132"/>
      <c r="G78" s="132"/>
      <c r="H78" s="132"/>
    </row>
    <row r="79" spans="1:8">
      <c r="A79" s="132"/>
      <c r="B79" s="53"/>
      <c r="C79" s="132"/>
      <c r="D79" s="254"/>
      <c r="E79" s="132"/>
      <c r="F79" s="132"/>
      <c r="G79" s="132"/>
      <c r="H79" s="132"/>
    </row>
    <row r="80" spans="1:8">
      <c r="A80" s="132"/>
      <c r="B80" s="53"/>
      <c r="C80" s="132"/>
      <c r="D80" s="254"/>
      <c r="E80" s="132"/>
      <c r="F80" s="132"/>
      <c r="G80" s="132"/>
      <c r="H80" s="132"/>
    </row>
    <row r="81" spans="1:8">
      <c r="A81" s="132"/>
      <c r="B81" s="53"/>
      <c r="C81" s="132"/>
      <c r="D81" s="254"/>
      <c r="E81" s="132"/>
      <c r="F81" s="132"/>
      <c r="G81" s="132"/>
      <c r="H81" s="132"/>
    </row>
    <row r="82" spans="1:8">
      <c r="A82" s="132"/>
      <c r="B82" s="53"/>
      <c r="C82" s="132"/>
      <c r="D82" s="254"/>
      <c r="E82" s="132"/>
      <c r="F82" s="132"/>
      <c r="G82" s="132"/>
      <c r="H82" s="132"/>
    </row>
    <row r="83" spans="1:8">
      <c r="A83" s="132"/>
      <c r="B83" s="53"/>
      <c r="C83" s="132"/>
      <c r="D83" s="254"/>
      <c r="E83" s="132"/>
      <c r="F83" s="132"/>
      <c r="G83" s="132"/>
      <c r="H83" s="132"/>
    </row>
    <row r="84" spans="1:8">
      <c r="A84" s="132"/>
      <c r="B84" s="53"/>
      <c r="C84" s="132"/>
      <c r="D84" s="254"/>
      <c r="E84" s="132"/>
      <c r="F84" s="132"/>
      <c r="G84" s="132"/>
      <c r="H84" s="132"/>
    </row>
    <row r="85" spans="1:8">
      <c r="A85" s="132"/>
      <c r="B85" s="53"/>
      <c r="C85" s="132"/>
      <c r="D85" s="254"/>
      <c r="E85" s="132"/>
      <c r="F85" s="132"/>
      <c r="G85" s="132"/>
      <c r="H85" s="132"/>
    </row>
    <row r="86" spans="1:8">
      <c r="A86" s="132"/>
      <c r="B86" s="53"/>
      <c r="C86" s="132"/>
      <c r="D86" s="254"/>
      <c r="E86" s="132"/>
      <c r="F86" s="132"/>
      <c r="G86" s="132"/>
      <c r="H86" s="132"/>
    </row>
    <row r="87" spans="1:8">
      <c r="A87" s="132"/>
      <c r="B87" s="53"/>
      <c r="C87" s="132"/>
      <c r="D87" s="254"/>
      <c r="E87" s="132"/>
      <c r="F87" s="132"/>
      <c r="G87" s="132"/>
      <c r="H87" s="132"/>
    </row>
    <row r="88" spans="1:8">
      <c r="A88" s="132"/>
      <c r="B88" s="53"/>
      <c r="C88" s="132"/>
      <c r="D88" s="254"/>
      <c r="E88" s="132"/>
      <c r="F88" s="132"/>
      <c r="G88" s="132"/>
      <c r="H88" s="132"/>
    </row>
    <row r="89" spans="1:8">
      <c r="A89" s="132"/>
      <c r="B89" s="53"/>
      <c r="C89" s="132"/>
      <c r="D89" s="254"/>
      <c r="E89" s="132"/>
      <c r="F89" s="132"/>
      <c r="G89" s="132"/>
      <c r="H89" s="132"/>
    </row>
    <row r="90" spans="1:8">
      <c r="A90" s="132"/>
      <c r="B90" s="53"/>
      <c r="C90" s="132"/>
      <c r="D90" s="254"/>
      <c r="E90" s="132"/>
      <c r="F90" s="132"/>
      <c r="G90" s="132"/>
      <c r="H90" s="132"/>
    </row>
    <row r="91" spans="1:8">
      <c r="A91" s="132"/>
      <c r="B91" s="53"/>
      <c r="C91" s="132"/>
      <c r="D91" s="254"/>
      <c r="E91" s="132"/>
      <c r="F91" s="132"/>
      <c r="G91" s="132"/>
      <c r="H91" s="132"/>
    </row>
    <row r="92" spans="1:8">
      <c r="A92" s="132"/>
      <c r="B92" s="53"/>
      <c r="C92" s="132"/>
      <c r="D92" s="254"/>
      <c r="E92" s="132"/>
      <c r="F92" s="132"/>
      <c r="G92" s="132"/>
      <c r="H92" s="132"/>
    </row>
    <row r="93" spans="1:8">
      <c r="A93" s="132"/>
      <c r="B93" s="53"/>
      <c r="C93" s="132"/>
      <c r="D93" s="254"/>
      <c r="E93" s="132"/>
      <c r="F93" s="132"/>
      <c r="G93" s="132"/>
      <c r="H93" s="132"/>
    </row>
    <row r="94" spans="1:8">
      <c r="A94" s="132"/>
      <c r="B94" s="53"/>
      <c r="C94" s="132"/>
      <c r="D94" s="254"/>
      <c r="E94" s="132"/>
      <c r="F94" s="132"/>
      <c r="G94" s="132"/>
      <c r="H94" s="132"/>
    </row>
    <row r="95" spans="1:8">
      <c r="A95" s="132"/>
      <c r="B95" s="53"/>
      <c r="C95" s="132"/>
      <c r="D95" s="254"/>
      <c r="E95" s="132"/>
      <c r="F95" s="132"/>
      <c r="G95" s="132"/>
      <c r="H95" s="132"/>
    </row>
    <row r="96" spans="1:8">
      <c r="A96" s="132"/>
      <c r="B96" s="53"/>
      <c r="C96" s="132"/>
      <c r="D96" s="254"/>
      <c r="E96" s="132"/>
      <c r="F96" s="132"/>
      <c r="G96" s="132"/>
      <c r="H96" s="132"/>
    </row>
    <row r="97" spans="1:8">
      <c r="A97" s="132"/>
      <c r="B97" s="53"/>
      <c r="C97" s="132"/>
      <c r="D97" s="254"/>
      <c r="E97" s="132"/>
      <c r="F97" s="132"/>
      <c r="G97" s="132"/>
      <c r="H97" s="132"/>
    </row>
    <row r="98" spans="1:8">
      <c r="A98" s="132"/>
      <c r="B98" s="53"/>
      <c r="C98" s="132"/>
      <c r="D98" s="254"/>
      <c r="E98" s="132"/>
      <c r="F98" s="132"/>
      <c r="G98" s="132"/>
      <c r="H98" s="132"/>
    </row>
    <row r="99" spans="1:8">
      <c r="A99" s="132"/>
      <c r="B99" s="53"/>
      <c r="C99" s="132"/>
      <c r="D99" s="254"/>
      <c r="E99" s="132"/>
      <c r="F99" s="132"/>
      <c r="G99" s="132"/>
      <c r="H99" s="132"/>
    </row>
    <row r="100" spans="1:8">
      <c r="A100" s="132"/>
      <c r="B100" s="53"/>
      <c r="C100" s="132"/>
      <c r="D100" s="254"/>
      <c r="E100" s="132"/>
      <c r="F100" s="132"/>
      <c r="G100" s="132"/>
      <c r="H100" s="132"/>
    </row>
    <row r="101" spans="1:8">
      <c r="A101" s="132"/>
      <c r="B101" s="53"/>
      <c r="C101" s="132"/>
      <c r="D101" s="254"/>
      <c r="E101" s="132"/>
      <c r="F101" s="132"/>
      <c r="G101" s="132"/>
      <c r="H101" s="132"/>
    </row>
    <row r="102" spans="1:8">
      <c r="A102" s="132"/>
      <c r="B102" s="53"/>
      <c r="C102" s="132"/>
      <c r="D102" s="254"/>
      <c r="E102" s="132"/>
      <c r="F102" s="132"/>
      <c r="G102" s="132"/>
      <c r="H102" s="132"/>
    </row>
    <row r="103" spans="1:8">
      <c r="A103" s="132"/>
      <c r="B103" s="53"/>
      <c r="C103" s="132"/>
      <c r="D103" s="254"/>
      <c r="E103" s="132"/>
      <c r="F103" s="132"/>
      <c r="G103" s="132"/>
      <c r="H103" s="132"/>
    </row>
    <row r="104" spans="1:8">
      <c r="A104" s="132"/>
      <c r="B104" s="53"/>
      <c r="C104" s="132"/>
      <c r="D104" s="254"/>
      <c r="E104" s="132"/>
      <c r="F104" s="132"/>
      <c r="G104" s="132"/>
      <c r="H104" s="132"/>
    </row>
    <row r="105" spans="1:8">
      <c r="A105" s="132"/>
      <c r="B105" s="53"/>
      <c r="C105" s="132"/>
      <c r="D105" s="254"/>
      <c r="E105" s="132"/>
      <c r="F105" s="132"/>
      <c r="G105" s="132"/>
      <c r="H105" s="132"/>
    </row>
    <row r="106" spans="1:8">
      <c r="A106" s="132"/>
      <c r="B106" s="53"/>
      <c r="C106" s="132"/>
      <c r="D106" s="254"/>
      <c r="E106" s="132"/>
      <c r="F106" s="132"/>
      <c r="G106" s="132"/>
      <c r="H106" s="132"/>
    </row>
    <row r="107" spans="1:8">
      <c r="A107" s="132"/>
      <c r="B107" s="53"/>
      <c r="C107" s="132"/>
      <c r="D107" s="254"/>
      <c r="E107" s="132"/>
      <c r="F107" s="132"/>
      <c r="G107" s="132"/>
      <c r="H107" s="132"/>
    </row>
    <row r="108" spans="1:8">
      <c r="A108" s="132"/>
      <c r="B108" s="53"/>
      <c r="C108" s="132"/>
      <c r="D108" s="254"/>
      <c r="E108" s="132"/>
      <c r="F108" s="132"/>
      <c r="G108" s="132"/>
      <c r="H108" s="132"/>
    </row>
    <row r="109" spans="1:8">
      <c r="A109" s="132"/>
      <c r="B109" s="53"/>
      <c r="C109" s="132"/>
      <c r="D109" s="254"/>
      <c r="E109" s="132"/>
      <c r="F109" s="132"/>
      <c r="G109" s="132"/>
      <c r="H109" s="132"/>
    </row>
    <row r="110" spans="1:8">
      <c r="A110" s="132"/>
      <c r="B110" s="53"/>
      <c r="C110" s="132"/>
      <c r="D110" s="254"/>
      <c r="E110" s="132"/>
      <c r="F110" s="132"/>
      <c r="G110" s="132"/>
      <c r="H110" s="132"/>
    </row>
    <row r="111" spans="1:8">
      <c r="A111" s="132"/>
      <c r="B111" s="53"/>
      <c r="C111" s="132"/>
      <c r="D111" s="254"/>
      <c r="E111" s="132"/>
      <c r="F111" s="132"/>
      <c r="G111" s="132"/>
      <c r="H111" s="132"/>
    </row>
    <row r="112" spans="1:8">
      <c r="A112" s="132"/>
      <c r="B112" s="53"/>
      <c r="C112" s="132"/>
      <c r="D112" s="254"/>
      <c r="E112" s="132"/>
      <c r="F112" s="132"/>
      <c r="G112" s="132"/>
      <c r="H112" s="132"/>
    </row>
    <row r="113" spans="1:8">
      <c r="A113" s="132"/>
      <c r="B113" s="53"/>
      <c r="C113" s="132"/>
      <c r="D113" s="254"/>
      <c r="E113" s="132"/>
      <c r="F113" s="132"/>
      <c r="G113" s="132"/>
      <c r="H113" s="132"/>
    </row>
    <row r="114" spans="1:8">
      <c r="A114" s="132"/>
      <c r="B114" s="53"/>
      <c r="C114" s="132"/>
      <c r="D114" s="254"/>
      <c r="E114" s="132"/>
      <c r="F114" s="132"/>
      <c r="G114" s="132"/>
      <c r="H114" s="132"/>
    </row>
    <row r="115" spans="1:8">
      <c r="A115" s="132"/>
      <c r="B115" s="53"/>
      <c r="C115" s="132"/>
      <c r="D115" s="254"/>
      <c r="E115" s="132"/>
      <c r="F115" s="132"/>
      <c r="G115" s="132"/>
      <c r="H115" s="132"/>
    </row>
    <row r="116" spans="1:8">
      <c r="A116" s="132"/>
      <c r="B116" s="53"/>
      <c r="C116" s="132"/>
      <c r="D116" s="254"/>
      <c r="E116" s="132"/>
      <c r="F116" s="132"/>
      <c r="G116" s="132"/>
      <c r="H116" s="132"/>
    </row>
    <row r="117" spans="1:8">
      <c r="A117" s="132"/>
      <c r="B117" s="53"/>
      <c r="C117" s="132"/>
      <c r="D117" s="254"/>
      <c r="E117" s="132"/>
      <c r="F117" s="132"/>
      <c r="G117" s="132"/>
      <c r="H117" s="132"/>
    </row>
    <row r="118" spans="1:8">
      <c r="A118" s="132"/>
      <c r="B118" s="53"/>
      <c r="C118" s="132"/>
      <c r="D118" s="254"/>
      <c r="E118" s="132"/>
      <c r="F118" s="132"/>
      <c r="G118" s="132"/>
      <c r="H118" s="132"/>
    </row>
    <row r="119" spans="1:8">
      <c r="A119" s="132"/>
      <c r="B119" s="53"/>
      <c r="C119" s="132"/>
      <c r="D119" s="254"/>
      <c r="E119" s="132"/>
      <c r="F119" s="132"/>
      <c r="G119" s="132"/>
      <c r="H119" s="132"/>
    </row>
    <row r="120" spans="1:8">
      <c r="A120" s="132"/>
      <c r="B120" s="53"/>
      <c r="C120" s="132"/>
      <c r="D120" s="254"/>
      <c r="E120" s="132"/>
      <c r="F120" s="132"/>
      <c r="G120" s="132"/>
      <c r="H120" s="132"/>
    </row>
    <row r="121" spans="1:8">
      <c r="A121" s="132"/>
      <c r="B121" s="53"/>
      <c r="C121" s="132"/>
      <c r="D121" s="254"/>
      <c r="E121" s="132"/>
      <c r="F121" s="132"/>
      <c r="G121" s="132"/>
      <c r="H121" s="132"/>
    </row>
    <row r="122" spans="1:8">
      <c r="A122" s="132"/>
      <c r="B122" s="53"/>
      <c r="C122" s="132"/>
      <c r="D122" s="254"/>
      <c r="E122" s="132"/>
      <c r="F122" s="132"/>
      <c r="G122" s="132"/>
      <c r="H122" s="132"/>
    </row>
    <row r="123" spans="1:8">
      <c r="A123" s="132"/>
      <c r="B123" s="53"/>
      <c r="C123" s="132"/>
      <c r="D123" s="254"/>
      <c r="E123" s="132"/>
      <c r="F123" s="132"/>
      <c r="G123" s="132"/>
      <c r="H123" s="132"/>
    </row>
    <row r="124" spans="1:8">
      <c r="A124" s="132"/>
      <c r="B124" s="53"/>
      <c r="C124" s="132"/>
      <c r="D124" s="254"/>
      <c r="E124" s="132"/>
      <c r="F124" s="132"/>
      <c r="G124" s="132"/>
      <c r="H124" s="132"/>
    </row>
    <row r="125" spans="1:8">
      <c r="A125" s="132"/>
      <c r="B125" s="53"/>
      <c r="C125" s="132"/>
      <c r="D125" s="254"/>
      <c r="E125" s="132"/>
      <c r="F125" s="132"/>
      <c r="G125" s="132"/>
      <c r="H125" s="132"/>
    </row>
    <row r="126" spans="1:8">
      <c r="A126" s="132"/>
      <c r="B126" s="53"/>
      <c r="C126" s="132"/>
      <c r="D126" s="254"/>
      <c r="E126" s="132"/>
      <c r="F126" s="132"/>
      <c r="G126" s="132"/>
      <c r="H126" s="132"/>
    </row>
    <row r="127" spans="1:8">
      <c r="A127" s="132"/>
      <c r="B127" s="53"/>
      <c r="C127" s="132"/>
      <c r="D127" s="254"/>
      <c r="E127" s="132"/>
      <c r="F127" s="132"/>
      <c r="G127" s="132"/>
      <c r="H127" s="132"/>
    </row>
    <row r="128" spans="1:8">
      <c r="A128" s="132"/>
      <c r="B128" s="53"/>
      <c r="C128" s="132"/>
      <c r="D128" s="254"/>
      <c r="E128" s="132"/>
      <c r="F128" s="132"/>
      <c r="G128" s="132"/>
      <c r="H128" s="132"/>
    </row>
    <row r="129" spans="1:8">
      <c r="A129" s="132"/>
      <c r="B129" s="53"/>
      <c r="C129" s="132"/>
      <c r="D129" s="254"/>
      <c r="E129" s="132"/>
      <c r="F129" s="132"/>
      <c r="G129" s="132"/>
      <c r="H129" s="132"/>
    </row>
    <row r="130" spans="1:8">
      <c r="A130" s="132"/>
      <c r="B130" s="53"/>
      <c r="C130" s="132"/>
      <c r="D130" s="254"/>
      <c r="E130" s="132"/>
      <c r="F130" s="132"/>
      <c r="G130" s="132"/>
      <c r="H130" s="132"/>
    </row>
    <row r="131" spans="1:8">
      <c r="A131" s="132"/>
      <c r="B131" s="53"/>
      <c r="C131" s="132"/>
      <c r="D131" s="254"/>
      <c r="E131" s="132"/>
      <c r="F131" s="132"/>
      <c r="G131" s="132"/>
      <c r="H131" s="132"/>
    </row>
    <row r="132" spans="1:8">
      <c r="A132" s="132"/>
      <c r="B132" s="53"/>
      <c r="C132" s="132"/>
      <c r="D132" s="254"/>
      <c r="E132" s="132"/>
      <c r="F132" s="132"/>
      <c r="G132" s="132"/>
      <c r="H132" s="132"/>
    </row>
    <row r="133" spans="1:8">
      <c r="A133" s="132"/>
      <c r="B133" s="53"/>
      <c r="C133" s="132"/>
      <c r="D133" s="254"/>
      <c r="E133" s="132"/>
      <c r="F133" s="132"/>
      <c r="G133" s="132"/>
      <c r="H133" s="132"/>
    </row>
    <row r="134" spans="1:8">
      <c r="A134" s="132"/>
      <c r="B134" s="53"/>
      <c r="C134" s="132"/>
      <c r="D134" s="254"/>
      <c r="E134" s="132"/>
      <c r="F134" s="132"/>
      <c r="G134" s="132"/>
      <c r="H134" s="132"/>
    </row>
    <row r="135" spans="1:8">
      <c r="A135" s="132"/>
      <c r="B135" s="53"/>
      <c r="C135" s="132"/>
      <c r="D135" s="254"/>
      <c r="E135" s="132"/>
      <c r="F135" s="132"/>
      <c r="G135" s="132"/>
      <c r="H135" s="132"/>
    </row>
    <row r="136" spans="1:8">
      <c r="A136" s="132"/>
      <c r="B136" s="53"/>
      <c r="C136" s="132"/>
      <c r="D136" s="254"/>
      <c r="E136" s="132"/>
      <c r="F136" s="132"/>
      <c r="G136" s="132"/>
      <c r="H136" s="132"/>
    </row>
    <row r="137" spans="1:8">
      <c r="A137" s="132"/>
      <c r="B137" s="53"/>
      <c r="C137" s="132"/>
      <c r="D137" s="254"/>
      <c r="E137" s="132"/>
      <c r="F137" s="132"/>
      <c r="G137" s="132"/>
      <c r="H137" s="132"/>
    </row>
    <row r="138" spans="1:8">
      <c r="A138" s="132"/>
      <c r="B138" s="53"/>
      <c r="C138" s="132"/>
      <c r="D138" s="254"/>
      <c r="E138" s="132"/>
      <c r="F138" s="132"/>
      <c r="G138" s="132"/>
      <c r="H138" s="132"/>
    </row>
    <row r="139" spans="1:8">
      <c r="A139" s="132"/>
      <c r="B139" s="53"/>
      <c r="C139" s="132"/>
      <c r="D139" s="254"/>
      <c r="E139" s="132"/>
      <c r="F139" s="132"/>
      <c r="G139" s="132"/>
      <c r="H139" s="132"/>
    </row>
    <row r="140" spans="1:8">
      <c r="A140" s="132"/>
      <c r="B140" s="53"/>
      <c r="C140" s="132"/>
      <c r="D140" s="254"/>
      <c r="E140" s="132"/>
      <c r="F140" s="132"/>
      <c r="G140" s="132"/>
      <c r="H140" s="132"/>
    </row>
    <row r="141" spans="1:8">
      <c r="A141" s="132"/>
      <c r="B141" s="53"/>
      <c r="C141" s="132"/>
      <c r="D141" s="254"/>
      <c r="E141" s="132"/>
      <c r="F141" s="132"/>
      <c r="G141" s="132"/>
      <c r="H141" s="132"/>
    </row>
    <row r="142" spans="1:8">
      <c r="A142" s="132"/>
      <c r="B142" s="53"/>
      <c r="C142" s="132"/>
      <c r="D142" s="254"/>
      <c r="E142" s="132"/>
      <c r="F142" s="132"/>
      <c r="G142" s="132"/>
      <c r="H142" s="132"/>
    </row>
    <row r="143" spans="1:8">
      <c r="A143" s="132"/>
      <c r="B143" s="53"/>
      <c r="C143" s="132"/>
      <c r="D143" s="254"/>
      <c r="E143" s="132"/>
      <c r="F143" s="132"/>
      <c r="G143" s="132"/>
      <c r="H143" s="132"/>
    </row>
    <row r="144" spans="1:8">
      <c r="A144" s="132"/>
      <c r="B144" s="53"/>
      <c r="C144" s="132"/>
      <c r="D144" s="254"/>
      <c r="E144" s="132"/>
      <c r="F144" s="132"/>
      <c r="G144" s="132"/>
      <c r="H144" s="132"/>
    </row>
    <row r="145" spans="1:8">
      <c r="A145" s="132"/>
      <c r="B145" s="53"/>
      <c r="C145" s="132"/>
      <c r="D145" s="254"/>
      <c r="E145" s="132"/>
      <c r="F145" s="132"/>
      <c r="G145" s="132"/>
      <c r="H145" s="132"/>
    </row>
    <row r="146" spans="1:8">
      <c r="A146" s="132"/>
      <c r="B146" s="53"/>
      <c r="C146" s="132"/>
      <c r="D146" s="254"/>
      <c r="E146" s="132"/>
      <c r="F146" s="132"/>
      <c r="G146" s="132"/>
      <c r="H146" s="132"/>
    </row>
  </sheetData>
  <mergeCells count="1">
    <mergeCell ref="A1:H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I206"/>
  <sheetViews>
    <sheetView workbookViewId="0">
      <pane ySplit="1" topLeftCell="A184" activePane="bottomLeft" state="frozen"/>
      <selection pane="bottomLeft" activeCell="A206" sqref="A206:XFD206"/>
    </sheetView>
  </sheetViews>
  <sheetFormatPr defaultColWidth="9.08984375" defaultRowHeight="15.5"/>
  <cols>
    <col min="1" max="1" width="9.08984375" style="48" customWidth="1"/>
    <col min="2" max="2" width="11.54296875" style="48" customWidth="1"/>
    <col min="3" max="3" width="14.6328125" style="48" customWidth="1"/>
    <col min="4" max="4" width="50.08984375" style="48" customWidth="1"/>
    <col min="5" max="5" width="11.6328125" style="48" customWidth="1"/>
    <col min="6" max="6" width="19.81640625" style="48" customWidth="1"/>
    <col min="7" max="7" width="16.6328125" style="48" customWidth="1"/>
    <col min="8" max="8" width="16.453125" style="48" customWidth="1"/>
    <col min="9" max="9" width="9.08984375" style="48" customWidth="1"/>
    <col min="10" max="10" width="16" style="49" customWidth="1"/>
    <col min="11" max="16384" width="9.08984375" style="49"/>
  </cols>
  <sheetData>
    <row r="1" spans="1:9" ht="27.75" customHeight="1">
      <c r="A1" s="50" t="s">
        <v>385</v>
      </c>
      <c r="B1" s="50" t="s">
        <v>193</v>
      </c>
      <c r="C1" s="50" t="s">
        <v>386</v>
      </c>
      <c r="D1" s="50" t="s">
        <v>387</v>
      </c>
      <c r="E1" s="50" t="s">
        <v>388</v>
      </c>
      <c r="F1" s="50" t="s">
        <v>389</v>
      </c>
      <c r="G1" s="50" t="s">
        <v>390</v>
      </c>
      <c r="H1" s="50" t="s">
        <v>1</v>
      </c>
      <c r="I1" s="50" t="s">
        <v>374</v>
      </c>
    </row>
    <row r="2" spans="1:9" ht="16.25" customHeight="1">
      <c r="A2" s="48">
        <v>1</v>
      </c>
      <c r="D2" s="48" t="s">
        <v>391</v>
      </c>
      <c r="E2" s="48">
        <v>1</v>
      </c>
      <c r="F2" s="48" t="s">
        <v>392</v>
      </c>
      <c r="I2" s="48">
        <f t="shared" ref="I2:I33" si="0">E2-H2</f>
        <v>1</v>
      </c>
    </row>
    <row r="3" spans="1:9">
      <c r="A3" s="48">
        <v>2</v>
      </c>
      <c r="D3" s="48" t="s">
        <v>393</v>
      </c>
      <c r="E3" s="48">
        <v>1</v>
      </c>
      <c r="F3" s="48" t="s">
        <v>392</v>
      </c>
      <c r="I3" s="48">
        <f t="shared" si="0"/>
        <v>1</v>
      </c>
    </row>
    <row r="4" spans="1:9">
      <c r="A4" s="48">
        <v>3</v>
      </c>
      <c r="D4" s="48" t="s">
        <v>394</v>
      </c>
      <c r="E4" s="48">
        <v>1</v>
      </c>
      <c r="F4" s="48" t="s">
        <v>392</v>
      </c>
      <c r="I4" s="48">
        <f t="shared" si="0"/>
        <v>1</v>
      </c>
    </row>
    <row r="5" spans="1:9">
      <c r="A5" s="48">
        <v>4</v>
      </c>
      <c r="D5" s="48" t="s">
        <v>395</v>
      </c>
      <c r="E5" s="48">
        <v>6</v>
      </c>
      <c r="F5" s="48" t="s">
        <v>392</v>
      </c>
      <c r="I5" s="48">
        <f t="shared" si="0"/>
        <v>6</v>
      </c>
    </row>
    <row r="6" spans="1:9">
      <c r="A6" s="48">
        <v>5</v>
      </c>
      <c r="D6" s="48" t="s">
        <v>396</v>
      </c>
      <c r="E6" s="48">
        <v>1</v>
      </c>
      <c r="F6" s="48" t="s">
        <v>392</v>
      </c>
      <c r="I6" s="48">
        <f t="shared" si="0"/>
        <v>1</v>
      </c>
    </row>
    <row r="7" spans="1:9">
      <c r="A7" s="48">
        <v>6</v>
      </c>
      <c r="D7" s="48" t="s">
        <v>397</v>
      </c>
      <c r="E7" s="48">
        <v>2</v>
      </c>
      <c r="F7" s="48" t="s">
        <v>392</v>
      </c>
      <c r="I7" s="48">
        <f t="shared" si="0"/>
        <v>2</v>
      </c>
    </row>
    <row r="8" spans="1:9">
      <c r="A8" s="48">
        <v>7</v>
      </c>
      <c r="D8" s="48" t="s">
        <v>398</v>
      </c>
      <c r="E8" s="48">
        <v>2</v>
      </c>
      <c r="F8" s="48" t="s">
        <v>392</v>
      </c>
      <c r="I8" s="48">
        <f t="shared" si="0"/>
        <v>2</v>
      </c>
    </row>
    <row r="9" spans="1:9">
      <c r="A9" s="48">
        <v>8</v>
      </c>
      <c r="D9" s="48" t="s">
        <v>399</v>
      </c>
      <c r="E9" s="48">
        <v>2</v>
      </c>
      <c r="F9" s="48" t="s">
        <v>392</v>
      </c>
      <c r="I9" s="48">
        <f t="shared" si="0"/>
        <v>2</v>
      </c>
    </row>
    <row r="10" spans="1:9">
      <c r="A10" s="48">
        <v>9</v>
      </c>
      <c r="D10" s="48" t="s">
        <v>400</v>
      </c>
      <c r="E10" s="48">
        <v>1</v>
      </c>
      <c r="F10" s="48" t="s">
        <v>392</v>
      </c>
      <c r="I10" s="48">
        <f t="shared" si="0"/>
        <v>1</v>
      </c>
    </row>
    <row r="11" spans="1:9">
      <c r="A11" s="48">
        <v>10</v>
      </c>
      <c r="D11" s="48" t="s">
        <v>401</v>
      </c>
      <c r="E11" s="48">
        <v>1</v>
      </c>
      <c r="F11" s="48" t="s">
        <v>392</v>
      </c>
      <c r="I11" s="48">
        <f t="shared" si="0"/>
        <v>1</v>
      </c>
    </row>
    <row r="12" spans="1:9">
      <c r="A12" s="48">
        <v>11</v>
      </c>
      <c r="D12" s="48" t="s">
        <v>402</v>
      </c>
      <c r="E12" s="48">
        <v>2</v>
      </c>
      <c r="F12" s="48" t="s">
        <v>392</v>
      </c>
      <c r="I12" s="48">
        <f t="shared" si="0"/>
        <v>2</v>
      </c>
    </row>
    <row r="13" spans="1:9">
      <c r="A13" s="48">
        <v>12</v>
      </c>
      <c r="D13" s="48" t="s">
        <v>403</v>
      </c>
      <c r="E13" s="48">
        <v>1</v>
      </c>
      <c r="F13" s="48" t="s">
        <v>392</v>
      </c>
      <c r="I13" s="48">
        <f t="shared" si="0"/>
        <v>1</v>
      </c>
    </row>
    <row r="14" spans="1:9">
      <c r="A14" s="48">
        <v>13</v>
      </c>
      <c r="D14" s="48" t="s">
        <v>404</v>
      </c>
      <c r="E14" s="48">
        <v>3</v>
      </c>
      <c r="F14" s="48" t="s">
        <v>392</v>
      </c>
      <c r="I14" s="48">
        <f t="shared" si="0"/>
        <v>3</v>
      </c>
    </row>
    <row r="15" spans="1:9">
      <c r="A15" s="48">
        <v>14</v>
      </c>
      <c r="D15" s="48" t="s">
        <v>405</v>
      </c>
      <c r="E15" s="48">
        <v>1</v>
      </c>
      <c r="F15" s="48" t="s">
        <v>406</v>
      </c>
      <c r="I15" s="48">
        <f t="shared" si="0"/>
        <v>1</v>
      </c>
    </row>
    <row r="16" spans="1:9">
      <c r="A16" s="48">
        <v>15</v>
      </c>
      <c r="D16" s="48" t="s">
        <v>407</v>
      </c>
      <c r="E16" s="48">
        <v>1</v>
      </c>
      <c r="F16" s="48" t="s">
        <v>408</v>
      </c>
      <c r="I16" s="48">
        <f t="shared" si="0"/>
        <v>1</v>
      </c>
    </row>
    <row r="17" spans="1:9">
      <c r="A17" s="48">
        <v>16</v>
      </c>
      <c r="D17" s="48" t="s">
        <v>409</v>
      </c>
      <c r="E17" s="48">
        <v>2</v>
      </c>
      <c r="F17" s="48" t="s">
        <v>392</v>
      </c>
      <c r="I17" s="48">
        <f t="shared" si="0"/>
        <v>2</v>
      </c>
    </row>
    <row r="18" spans="1:9">
      <c r="A18" s="48">
        <v>17</v>
      </c>
      <c r="D18" s="48" t="s">
        <v>410</v>
      </c>
      <c r="E18" s="48">
        <v>1</v>
      </c>
      <c r="F18" s="48" t="s">
        <v>392</v>
      </c>
      <c r="I18" s="48">
        <f t="shared" si="0"/>
        <v>1</v>
      </c>
    </row>
    <row r="19" spans="1:9">
      <c r="A19" s="48">
        <v>18</v>
      </c>
      <c r="D19" s="48" t="s">
        <v>411</v>
      </c>
      <c r="E19" s="48">
        <v>1</v>
      </c>
      <c r="F19" s="48" t="s">
        <v>392</v>
      </c>
      <c r="I19" s="48">
        <f t="shared" si="0"/>
        <v>1</v>
      </c>
    </row>
    <row r="20" spans="1:9">
      <c r="A20" s="48">
        <v>19</v>
      </c>
      <c r="D20" s="48" t="s">
        <v>412</v>
      </c>
      <c r="E20" s="48">
        <v>1</v>
      </c>
      <c r="F20" s="48" t="s">
        <v>392</v>
      </c>
      <c r="I20" s="48">
        <f t="shared" si="0"/>
        <v>1</v>
      </c>
    </row>
    <row r="21" spans="1:9">
      <c r="A21" s="48">
        <v>20</v>
      </c>
      <c r="D21" s="48" t="s">
        <v>413</v>
      </c>
      <c r="E21" s="48">
        <v>1</v>
      </c>
      <c r="F21" s="48" t="s">
        <v>392</v>
      </c>
      <c r="I21" s="48">
        <f t="shared" si="0"/>
        <v>1</v>
      </c>
    </row>
    <row r="22" spans="1:9">
      <c r="A22" s="48">
        <v>21</v>
      </c>
      <c r="D22" s="48" t="s">
        <v>414</v>
      </c>
      <c r="E22" s="48">
        <v>2</v>
      </c>
      <c r="F22" s="48" t="s">
        <v>392</v>
      </c>
      <c r="I22" s="48">
        <f t="shared" si="0"/>
        <v>2</v>
      </c>
    </row>
    <row r="23" spans="1:9">
      <c r="A23" s="48">
        <v>22</v>
      </c>
      <c r="D23" s="48" t="s">
        <v>415</v>
      </c>
      <c r="E23" s="48">
        <v>2</v>
      </c>
      <c r="F23" s="48" t="s">
        <v>392</v>
      </c>
      <c r="I23" s="48">
        <f t="shared" si="0"/>
        <v>2</v>
      </c>
    </row>
    <row r="24" spans="1:9">
      <c r="A24" s="48">
        <v>23</v>
      </c>
      <c r="D24" s="48" t="s">
        <v>416</v>
      </c>
      <c r="E24" s="48">
        <v>1</v>
      </c>
      <c r="F24" s="48" t="s">
        <v>392</v>
      </c>
      <c r="I24" s="48">
        <f t="shared" si="0"/>
        <v>1</v>
      </c>
    </row>
    <row r="25" spans="1:9">
      <c r="A25" s="48">
        <v>24</v>
      </c>
      <c r="D25" s="48" t="s">
        <v>417</v>
      </c>
      <c r="F25" s="48" t="s">
        <v>418</v>
      </c>
      <c r="I25" s="48">
        <f t="shared" si="0"/>
        <v>0</v>
      </c>
    </row>
    <row r="26" spans="1:9">
      <c r="A26" s="48">
        <v>25</v>
      </c>
      <c r="D26" s="48" t="s">
        <v>419</v>
      </c>
      <c r="F26" s="48" t="s">
        <v>392</v>
      </c>
      <c r="I26" s="48">
        <f t="shared" si="0"/>
        <v>0</v>
      </c>
    </row>
    <row r="27" spans="1:9">
      <c r="A27" s="48">
        <v>26</v>
      </c>
      <c r="D27" s="48" t="s">
        <v>419</v>
      </c>
      <c r="F27" s="48" t="s">
        <v>408</v>
      </c>
      <c r="I27" s="48">
        <f t="shared" si="0"/>
        <v>0</v>
      </c>
    </row>
    <row r="28" spans="1:9">
      <c r="A28" s="48">
        <v>27</v>
      </c>
      <c r="D28" s="48" t="s">
        <v>420</v>
      </c>
      <c r="E28" s="48">
        <v>2</v>
      </c>
      <c r="F28" s="48" t="s">
        <v>418</v>
      </c>
      <c r="I28" s="48">
        <f t="shared" si="0"/>
        <v>2</v>
      </c>
    </row>
    <row r="29" spans="1:9">
      <c r="A29" s="48">
        <v>28</v>
      </c>
      <c r="D29" s="48" t="s">
        <v>421</v>
      </c>
      <c r="E29" s="48">
        <v>2</v>
      </c>
      <c r="F29" s="48" t="s">
        <v>406</v>
      </c>
      <c r="I29" s="48">
        <f t="shared" si="0"/>
        <v>2</v>
      </c>
    </row>
    <row r="30" spans="1:9">
      <c r="A30" s="48">
        <v>29</v>
      </c>
      <c r="D30" s="48" t="s">
        <v>422</v>
      </c>
      <c r="E30" s="48">
        <v>1</v>
      </c>
      <c r="F30" s="48" t="s">
        <v>406</v>
      </c>
      <c r="I30" s="48">
        <f t="shared" si="0"/>
        <v>1</v>
      </c>
    </row>
    <row r="31" spans="1:9">
      <c r="A31" s="48">
        <v>30</v>
      </c>
      <c r="D31" s="48" t="s">
        <v>423</v>
      </c>
      <c r="E31" s="48">
        <v>2</v>
      </c>
      <c r="F31" s="48" t="s">
        <v>406</v>
      </c>
      <c r="I31" s="48">
        <f t="shared" si="0"/>
        <v>2</v>
      </c>
    </row>
    <row r="32" spans="1:9">
      <c r="A32" s="48">
        <v>31</v>
      </c>
      <c r="D32" s="48" t="s">
        <v>424</v>
      </c>
      <c r="E32" s="48">
        <v>3</v>
      </c>
      <c r="F32" s="48" t="s">
        <v>406</v>
      </c>
      <c r="I32" s="48">
        <f t="shared" si="0"/>
        <v>3</v>
      </c>
    </row>
    <row r="33" spans="1:9">
      <c r="A33" s="48">
        <v>32</v>
      </c>
      <c r="D33" s="48" t="s">
        <v>425</v>
      </c>
      <c r="E33" s="48">
        <v>1</v>
      </c>
      <c r="F33" s="48" t="s">
        <v>406</v>
      </c>
      <c r="I33" s="48">
        <f t="shared" si="0"/>
        <v>1</v>
      </c>
    </row>
    <row r="34" spans="1:9">
      <c r="A34" s="48">
        <v>33</v>
      </c>
      <c r="D34" s="48" t="s">
        <v>426</v>
      </c>
      <c r="E34" s="48">
        <v>1</v>
      </c>
      <c r="F34" s="48" t="s">
        <v>427</v>
      </c>
      <c r="I34" s="48">
        <f t="shared" ref="I34:I65" si="1">E34-H34</f>
        <v>1</v>
      </c>
    </row>
    <row r="35" spans="1:9">
      <c r="A35" s="48">
        <v>34</v>
      </c>
      <c r="D35" s="48" t="s">
        <v>428</v>
      </c>
      <c r="E35" s="48">
        <v>3</v>
      </c>
      <c r="F35" s="48" t="s">
        <v>427</v>
      </c>
      <c r="I35" s="48">
        <f t="shared" si="1"/>
        <v>3</v>
      </c>
    </row>
    <row r="36" spans="1:9">
      <c r="A36" s="48">
        <v>35</v>
      </c>
      <c r="D36" s="48" t="s">
        <v>429</v>
      </c>
      <c r="E36" s="48">
        <v>5</v>
      </c>
      <c r="F36" s="48" t="s">
        <v>427</v>
      </c>
      <c r="I36" s="48">
        <f t="shared" si="1"/>
        <v>5</v>
      </c>
    </row>
    <row r="37" spans="1:9">
      <c r="A37" s="48">
        <v>36</v>
      </c>
      <c r="D37" s="48" t="s">
        <v>430</v>
      </c>
      <c r="E37" s="48">
        <v>1</v>
      </c>
      <c r="F37" s="48" t="s">
        <v>427</v>
      </c>
      <c r="I37" s="48">
        <f t="shared" si="1"/>
        <v>1</v>
      </c>
    </row>
    <row r="38" spans="1:9">
      <c r="A38" s="48">
        <v>37</v>
      </c>
      <c r="D38" s="48" t="s">
        <v>431</v>
      </c>
      <c r="E38" s="48">
        <v>1</v>
      </c>
      <c r="F38" s="48" t="s">
        <v>427</v>
      </c>
      <c r="I38" s="48">
        <f t="shared" si="1"/>
        <v>1</v>
      </c>
    </row>
    <row r="39" spans="1:9">
      <c r="A39" s="48">
        <v>38</v>
      </c>
      <c r="D39" s="48" t="s">
        <v>432</v>
      </c>
      <c r="E39" s="48">
        <v>1</v>
      </c>
      <c r="F39" s="48" t="s">
        <v>427</v>
      </c>
      <c r="I39" s="48">
        <f t="shared" si="1"/>
        <v>1</v>
      </c>
    </row>
    <row r="40" spans="1:9">
      <c r="A40" s="48">
        <v>39</v>
      </c>
      <c r="D40" s="48" t="s">
        <v>433</v>
      </c>
      <c r="E40" s="48">
        <v>1</v>
      </c>
      <c r="F40" s="48" t="s">
        <v>427</v>
      </c>
      <c r="I40" s="48">
        <f t="shared" si="1"/>
        <v>1</v>
      </c>
    </row>
    <row r="41" spans="1:9">
      <c r="A41" s="48">
        <v>40</v>
      </c>
      <c r="D41" s="48" t="s">
        <v>434</v>
      </c>
      <c r="E41" s="48">
        <v>1</v>
      </c>
      <c r="F41" s="48" t="s">
        <v>427</v>
      </c>
      <c r="I41" s="48">
        <f t="shared" si="1"/>
        <v>1</v>
      </c>
    </row>
    <row r="42" spans="1:9">
      <c r="A42" s="48">
        <v>41</v>
      </c>
      <c r="D42" s="48" t="s">
        <v>435</v>
      </c>
      <c r="E42" s="48">
        <v>4</v>
      </c>
      <c r="F42" s="48" t="s">
        <v>427</v>
      </c>
      <c r="I42" s="48">
        <f t="shared" si="1"/>
        <v>4</v>
      </c>
    </row>
    <row r="43" spans="1:9">
      <c r="A43" s="48">
        <v>42</v>
      </c>
      <c r="D43" s="48" t="s">
        <v>436</v>
      </c>
      <c r="E43" s="48">
        <v>1</v>
      </c>
      <c r="F43" s="48" t="s">
        <v>427</v>
      </c>
      <c r="I43" s="48">
        <f t="shared" si="1"/>
        <v>1</v>
      </c>
    </row>
    <row r="44" spans="1:9">
      <c r="A44" s="48">
        <v>43</v>
      </c>
      <c r="D44" s="48" t="s">
        <v>437</v>
      </c>
      <c r="E44" s="48">
        <v>1</v>
      </c>
      <c r="F44" s="48" t="s">
        <v>438</v>
      </c>
      <c r="I44" s="48">
        <f t="shared" si="1"/>
        <v>1</v>
      </c>
    </row>
    <row r="45" spans="1:9">
      <c r="A45" s="48">
        <v>44</v>
      </c>
      <c r="D45" s="48" t="s">
        <v>439</v>
      </c>
      <c r="F45" s="48" t="s">
        <v>440</v>
      </c>
      <c r="I45" s="48">
        <f t="shared" si="1"/>
        <v>0</v>
      </c>
    </row>
    <row r="46" spans="1:9">
      <c r="A46" s="48">
        <v>45</v>
      </c>
      <c r="D46" s="48" t="s">
        <v>441</v>
      </c>
      <c r="F46" s="48" t="s">
        <v>442</v>
      </c>
      <c r="I46" s="48">
        <f t="shared" si="1"/>
        <v>0</v>
      </c>
    </row>
    <row r="47" spans="1:9">
      <c r="A47" s="48">
        <v>46</v>
      </c>
      <c r="D47" s="48" t="s">
        <v>443</v>
      </c>
      <c r="E47" s="48" t="s">
        <v>444</v>
      </c>
      <c r="F47" s="48" t="s">
        <v>445</v>
      </c>
      <c r="I47" s="48" t="e">
        <f t="shared" si="1"/>
        <v>#VALUE!</v>
      </c>
    </row>
    <row r="48" spans="1:9">
      <c r="A48" s="48">
        <v>47</v>
      </c>
      <c r="D48" s="48" t="s">
        <v>446</v>
      </c>
      <c r="E48" s="48">
        <v>2</v>
      </c>
      <c r="F48" s="48" t="s">
        <v>447</v>
      </c>
      <c r="I48" s="48">
        <f t="shared" si="1"/>
        <v>2</v>
      </c>
    </row>
    <row r="49" spans="1:9">
      <c r="A49" s="48">
        <v>48</v>
      </c>
      <c r="D49" s="48" t="s">
        <v>448</v>
      </c>
      <c r="E49" s="48" t="s">
        <v>449</v>
      </c>
      <c r="F49" s="48" t="s">
        <v>450</v>
      </c>
      <c r="I49" s="48" t="e">
        <f t="shared" si="1"/>
        <v>#VALUE!</v>
      </c>
    </row>
    <row r="50" spans="1:9">
      <c r="A50" s="48">
        <v>49</v>
      </c>
      <c r="D50" s="48" t="s">
        <v>451</v>
      </c>
      <c r="F50" s="48" t="s">
        <v>452</v>
      </c>
      <c r="I50" s="48">
        <f t="shared" si="1"/>
        <v>0</v>
      </c>
    </row>
    <row r="51" spans="1:9">
      <c r="A51" s="48">
        <v>50</v>
      </c>
      <c r="D51" s="48" t="s">
        <v>453</v>
      </c>
      <c r="E51" s="48">
        <v>1</v>
      </c>
      <c r="F51" s="48" t="s">
        <v>452</v>
      </c>
      <c r="I51" s="48">
        <f t="shared" si="1"/>
        <v>1</v>
      </c>
    </row>
    <row r="52" spans="1:9">
      <c r="A52" s="48">
        <v>51</v>
      </c>
      <c r="D52" s="48" t="s">
        <v>454</v>
      </c>
      <c r="E52" s="48">
        <v>4</v>
      </c>
      <c r="F52" s="48" t="s">
        <v>452</v>
      </c>
      <c r="I52" s="48">
        <f t="shared" si="1"/>
        <v>4</v>
      </c>
    </row>
    <row r="53" spans="1:9">
      <c r="A53" s="48">
        <v>52</v>
      </c>
      <c r="D53" s="48" t="s">
        <v>455</v>
      </c>
      <c r="E53" s="48">
        <v>7</v>
      </c>
      <c r="F53" s="48" t="s">
        <v>452</v>
      </c>
      <c r="I53" s="48">
        <f t="shared" si="1"/>
        <v>7</v>
      </c>
    </row>
    <row r="54" spans="1:9">
      <c r="A54" s="48">
        <v>53</v>
      </c>
      <c r="D54" s="48" t="s">
        <v>456</v>
      </c>
      <c r="E54" s="48">
        <v>14</v>
      </c>
      <c r="F54" s="48" t="s">
        <v>452</v>
      </c>
      <c r="I54" s="48">
        <f t="shared" si="1"/>
        <v>14</v>
      </c>
    </row>
    <row r="55" spans="1:9">
      <c r="A55" s="48">
        <v>54</v>
      </c>
      <c r="D55" s="48" t="s">
        <v>457</v>
      </c>
      <c r="E55" s="48">
        <v>4</v>
      </c>
      <c r="F55" s="48" t="s">
        <v>452</v>
      </c>
      <c r="I55" s="48">
        <f t="shared" si="1"/>
        <v>4</v>
      </c>
    </row>
    <row r="56" spans="1:9">
      <c r="A56" s="48">
        <v>55</v>
      </c>
      <c r="D56" s="48" t="s">
        <v>458</v>
      </c>
      <c r="F56" s="48" t="s">
        <v>452</v>
      </c>
      <c r="I56" s="48">
        <f t="shared" si="1"/>
        <v>0</v>
      </c>
    </row>
    <row r="57" spans="1:9">
      <c r="A57" s="48">
        <v>56</v>
      </c>
      <c r="D57" s="48" t="s">
        <v>459</v>
      </c>
      <c r="E57" s="48">
        <v>25</v>
      </c>
      <c r="F57" s="48" t="s">
        <v>452</v>
      </c>
      <c r="I57" s="48">
        <f t="shared" si="1"/>
        <v>25</v>
      </c>
    </row>
    <row r="58" spans="1:9">
      <c r="A58" s="48">
        <v>57</v>
      </c>
      <c r="D58" s="48" t="s">
        <v>460</v>
      </c>
      <c r="E58" s="48">
        <v>1</v>
      </c>
      <c r="F58" s="48" t="s">
        <v>452</v>
      </c>
      <c r="I58" s="48">
        <f t="shared" si="1"/>
        <v>1</v>
      </c>
    </row>
    <row r="59" spans="1:9">
      <c r="A59" s="48">
        <v>58</v>
      </c>
      <c r="D59" s="48" t="s">
        <v>461</v>
      </c>
      <c r="E59" s="48">
        <v>1</v>
      </c>
      <c r="F59" s="48" t="s">
        <v>427</v>
      </c>
      <c r="I59" s="48">
        <f t="shared" si="1"/>
        <v>1</v>
      </c>
    </row>
    <row r="60" spans="1:9">
      <c r="A60" s="48">
        <v>59</v>
      </c>
      <c r="D60" s="48" t="s">
        <v>462</v>
      </c>
      <c r="F60" s="48" t="s">
        <v>452</v>
      </c>
      <c r="I60" s="48">
        <f t="shared" si="1"/>
        <v>0</v>
      </c>
    </row>
    <row r="61" spans="1:9" ht="16.75" customHeight="1">
      <c r="A61" s="48">
        <v>60</v>
      </c>
      <c r="D61" s="48" t="s">
        <v>463</v>
      </c>
      <c r="F61" s="48" t="s">
        <v>464</v>
      </c>
      <c r="I61" s="48">
        <f t="shared" si="1"/>
        <v>0</v>
      </c>
    </row>
    <row r="62" spans="1:9">
      <c r="A62" s="48">
        <v>61</v>
      </c>
      <c r="D62" s="48" t="s">
        <v>465</v>
      </c>
      <c r="E62" s="48">
        <v>85</v>
      </c>
      <c r="F62" s="48" t="s">
        <v>466</v>
      </c>
      <c r="I62" s="48">
        <f t="shared" si="1"/>
        <v>85</v>
      </c>
    </row>
    <row r="63" spans="1:9">
      <c r="A63" s="48">
        <v>62</v>
      </c>
      <c r="D63" s="48" t="s">
        <v>467</v>
      </c>
      <c r="E63" s="48">
        <v>1</v>
      </c>
      <c r="F63" s="48" t="s">
        <v>466</v>
      </c>
      <c r="I63" s="48">
        <f t="shared" si="1"/>
        <v>1</v>
      </c>
    </row>
    <row r="64" spans="1:9">
      <c r="A64" s="48">
        <v>63</v>
      </c>
      <c r="D64" s="48" t="s">
        <v>468</v>
      </c>
      <c r="E64" s="48">
        <v>2</v>
      </c>
      <c r="F64" s="48" t="s">
        <v>466</v>
      </c>
      <c r="I64" s="48">
        <f t="shared" si="1"/>
        <v>2</v>
      </c>
    </row>
    <row r="65" spans="1:9">
      <c r="A65" s="48">
        <v>64</v>
      </c>
      <c r="D65" s="48" t="s">
        <v>469</v>
      </c>
      <c r="E65" s="48">
        <v>1</v>
      </c>
      <c r="F65" s="48" t="s">
        <v>466</v>
      </c>
      <c r="I65" s="48">
        <f t="shared" si="1"/>
        <v>1</v>
      </c>
    </row>
    <row r="66" spans="1:9">
      <c r="A66" s="48">
        <v>65</v>
      </c>
      <c r="D66" s="48" t="s">
        <v>470</v>
      </c>
      <c r="E66" s="48">
        <v>1</v>
      </c>
      <c r="F66" s="48" t="s">
        <v>466</v>
      </c>
      <c r="I66" s="48">
        <f t="shared" ref="I66:I67" si="2">E66-H66</f>
        <v>1</v>
      </c>
    </row>
    <row r="67" spans="1:9">
      <c r="A67" s="48">
        <v>66</v>
      </c>
      <c r="D67" s="48" t="s">
        <v>471</v>
      </c>
      <c r="E67" s="48">
        <v>2</v>
      </c>
      <c r="F67" s="48" t="s">
        <v>466</v>
      </c>
      <c r="I67" s="48">
        <f t="shared" si="2"/>
        <v>2</v>
      </c>
    </row>
    <row r="68" spans="1:9">
      <c r="A68" s="48">
        <v>67</v>
      </c>
      <c r="D68" s="48" t="s">
        <v>472</v>
      </c>
      <c r="E68" s="48">
        <v>2</v>
      </c>
      <c r="F68" s="48" t="s">
        <v>466</v>
      </c>
      <c r="I68" s="48">
        <f t="shared" ref="I68:I129" si="3">E68-H68</f>
        <v>2</v>
      </c>
    </row>
    <row r="69" spans="1:9">
      <c r="A69" s="48">
        <v>68</v>
      </c>
      <c r="D69" s="48" t="s">
        <v>473</v>
      </c>
      <c r="E69" s="48">
        <v>6</v>
      </c>
      <c r="F69" s="48" t="s">
        <v>466</v>
      </c>
      <c r="I69" s="48">
        <f t="shared" si="3"/>
        <v>6</v>
      </c>
    </row>
    <row r="70" spans="1:9">
      <c r="A70" s="48">
        <v>69</v>
      </c>
      <c r="D70" s="48" t="s">
        <v>474</v>
      </c>
      <c r="E70" s="48">
        <v>1</v>
      </c>
      <c r="F70" s="48" t="s">
        <v>466</v>
      </c>
      <c r="I70" s="48">
        <f t="shared" si="3"/>
        <v>1</v>
      </c>
    </row>
    <row r="71" spans="1:9">
      <c r="A71" s="48">
        <v>70</v>
      </c>
      <c r="D71" s="48" t="s">
        <v>475</v>
      </c>
      <c r="E71" s="48">
        <v>1</v>
      </c>
      <c r="F71" s="48" t="s">
        <v>466</v>
      </c>
      <c r="I71" s="48">
        <f t="shared" si="3"/>
        <v>1</v>
      </c>
    </row>
    <row r="72" spans="1:9">
      <c r="A72" s="48">
        <v>71</v>
      </c>
      <c r="D72" s="48" t="s">
        <v>476</v>
      </c>
      <c r="E72" s="48">
        <v>1</v>
      </c>
      <c r="F72" s="48" t="s">
        <v>466</v>
      </c>
      <c r="I72" s="48">
        <f t="shared" si="3"/>
        <v>1</v>
      </c>
    </row>
    <row r="73" spans="1:9">
      <c r="A73" s="48">
        <v>72</v>
      </c>
      <c r="D73" s="48" t="s">
        <v>477</v>
      </c>
      <c r="E73" s="48">
        <v>18</v>
      </c>
      <c r="F73" s="48" t="s">
        <v>427</v>
      </c>
      <c r="I73" s="48">
        <f t="shared" si="3"/>
        <v>18</v>
      </c>
    </row>
    <row r="74" spans="1:9">
      <c r="A74" s="48">
        <v>73</v>
      </c>
      <c r="D74" s="48" t="s">
        <v>478</v>
      </c>
      <c r="E74" s="48">
        <v>12</v>
      </c>
      <c r="F74" s="48" t="s">
        <v>427</v>
      </c>
      <c r="I74" s="48">
        <f t="shared" si="3"/>
        <v>12</v>
      </c>
    </row>
    <row r="75" spans="1:9">
      <c r="A75" s="48">
        <v>74</v>
      </c>
      <c r="D75" s="48" t="s">
        <v>479</v>
      </c>
      <c r="E75" s="48">
        <v>1</v>
      </c>
      <c r="F75" s="48" t="s">
        <v>427</v>
      </c>
      <c r="I75" s="48">
        <f t="shared" si="3"/>
        <v>1</v>
      </c>
    </row>
    <row r="76" spans="1:9">
      <c r="A76" s="48">
        <v>75</v>
      </c>
      <c r="D76" s="48" t="s">
        <v>480</v>
      </c>
      <c r="E76" s="48">
        <v>1</v>
      </c>
      <c r="F76" s="48" t="s">
        <v>427</v>
      </c>
      <c r="I76" s="48">
        <f t="shared" si="3"/>
        <v>1</v>
      </c>
    </row>
    <row r="77" spans="1:9">
      <c r="A77" s="48">
        <v>76</v>
      </c>
      <c r="D77" s="48" t="s">
        <v>481</v>
      </c>
      <c r="E77" s="48">
        <v>1</v>
      </c>
      <c r="F77" s="48" t="s">
        <v>427</v>
      </c>
      <c r="I77" s="48">
        <f t="shared" si="3"/>
        <v>1</v>
      </c>
    </row>
    <row r="78" spans="1:9">
      <c r="A78" s="48">
        <v>77</v>
      </c>
      <c r="D78" s="48" t="s">
        <v>482</v>
      </c>
      <c r="E78" s="48">
        <v>1</v>
      </c>
      <c r="F78" s="48" t="s">
        <v>427</v>
      </c>
      <c r="I78" s="48">
        <f t="shared" si="3"/>
        <v>1</v>
      </c>
    </row>
    <row r="79" spans="1:9">
      <c r="A79" s="48">
        <v>78</v>
      </c>
      <c r="D79" s="48" t="s">
        <v>483</v>
      </c>
      <c r="E79" s="48">
        <v>1</v>
      </c>
      <c r="F79" s="48" t="s">
        <v>427</v>
      </c>
      <c r="I79" s="48">
        <f t="shared" si="3"/>
        <v>1</v>
      </c>
    </row>
    <row r="80" spans="1:9">
      <c r="A80" s="48">
        <v>79</v>
      </c>
      <c r="D80" s="48" t="s">
        <v>484</v>
      </c>
      <c r="E80" s="48">
        <v>1</v>
      </c>
      <c r="F80" s="48" t="s">
        <v>427</v>
      </c>
      <c r="I80" s="48">
        <f t="shared" si="3"/>
        <v>1</v>
      </c>
    </row>
    <row r="81" spans="1:9">
      <c r="A81" s="48">
        <v>80</v>
      </c>
      <c r="D81" s="48" t="s">
        <v>485</v>
      </c>
      <c r="E81" s="48">
        <v>4</v>
      </c>
      <c r="F81" s="48" t="s">
        <v>427</v>
      </c>
      <c r="I81" s="48">
        <f t="shared" si="3"/>
        <v>4</v>
      </c>
    </row>
    <row r="82" spans="1:9">
      <c r="A82" s="48">
        <v>81</v>
      </c>
      <c r="D82" s="48" t="s">
        <v>486</v>
      </c>
      <c r="E82" s="48">
        <v>1</v>
      </c>
      <c r="F82" s="48" t="s">
        <v>427</v>
      </c>
      <c r="I82" s="48">
        <f t="shared" si="3"/>
        <v>1</v>
      </c>
    </row>
    <row r="83" spans="1:9">
      <c r="A83" s="48">
        <v>82</v>
      </c>
      <c r="D83" s="48" t="s">
        <v>487</v>
      </c>
      <c r="E83" s="48">
        <v>1</v>
      </c>
      <c r="F83" s="48" t="s">
        <v>427</v>
      </c>
      <c r="I83" s="48">
        <f t="shared" si="3"/>
        <v>1</v>
      </c>
    </row>
    <row r="84" spans="1:9">
      <c r="A84" s="48">
        <v>83</v>
      </c>
      <c r="D84" s="48" t="s">
        <v>488</v>
      </c>
      <c r="E84" s="48">
        <v>1</v>
      </c>
      <c r="F84" s="48" t="s">
        <v>427</v>
      </c>
      <c r="I84" s="48">
        <f t="shared" si="3"/>
        <v>1</v>
      </c>
    </row>
    <row r="85" spans="1:9">
      <c r="A85" s="48">
        <v>84</v>
      </c>
      <c r="D85" s="48" t="s">
        <v>489</v>
      </c>
      <c r="E85" s="48">
        <v>28</v>
      </c>
      <c r="F85" s="48" t="s">
        <v>427</v>
      </c>
      <c r="I85" s="48">
        <f t="shared" si="3"/>
        <v>28</v>
      </c>
    </row>
    <row r="86" spans="1:9">
      <c r="A86" s="48">
        <v>85</v>
      </c>
      <c r="D86" s="48" t="s">
        <v>490</v>
      </c>
      <c r="E86" s="48">
        <v>21</v>
      </c>
      <c r="F86" s="48" t="s">
        <v>427</v>
      </c>
      <c r="I86" s="48">
        <f t="shared" si="3"/>
        <v>21</v>
      </c>
    </row>
    <row r="87" spans="1:9">
      <c r="A87" s="48">
        <v>86</v>
      </c>
      <c r="D87" s="48" t="s">
        <v>491</v>
      </c>
      <c r="E87" s="48">
        <v>2</v>
      </c>
      <c r="F87" s="48" t="s">
        <v>427</v>
      </c>
      <c r="I87" s="48">
        <f t="shared" si="3"/>
        <v>2</v>
      </c>
    </row>
    <row r="88" spans="1:9">
      <c r="A88" s="48">
        <v>87</v>
      </c>
      <c r="D88" s="48" t="s">
        <v>492</v>
      </c>
      <c r="E88" s="48">
        <v>1</v>
      </c>
      <c r="F88" s="48" t="s">
        <v>427</v>
      </c>
      <c r="I88" s="48">
        <f t="shared" si="3"/>
        <v>1</v>
      </c>
    </row>
    <row r="89" spans="1:9">
      <c r="A89" s="48">
        <v>88</v>
      </c>
      <c r="D89" s="48" t="s">
        <v>493</v>
      </c>
      <c r="E89" s="48">
        <v>5</v>
      </c>
      <c r="F89" s="48" t="s">
        <v>427</v>
      </c>
      <c r="I89" s="48">
        <f t="shared" si="3"/>
        <v>5</v>
      </c>
    </row>
    <row r="90" spans="1:9">
      <c r="A90" s="48">
        <v>89</v>
      </c>
      <c r="D90" s="48" t="s">
        <v>494</v>
      </c>
      <c r="E90" s="48">
        <v>1</v>
      </c>
      <c r="F90" s="48" t="s">
        <v>427</v>
      </c>
      <c r="I90" s="48">
        <f t="shared" si="3"/>
        <v>1</v>
      </c>
    </row>
    <row r="91" spans="1:9">
      <c r="A91" s="48">
        <v>90</v>
      </c>
      <c r="D91" s="48" t="s">
        <v>495</v>
      </c>
      <c r="E91" s="48">
        <v>1</v>
      </c>
      <c r="F91" s="48" t="s">
        <v>427</v>
      </c>
      <c r="I91" s="48">
        <f t="shared" si="3"/>
        <v>1</v>
      </c>
    </row>
    <row r="92" spans="1:9">
      <c r="A92" s="48">
        <v>91</v>
      </c>
      <c r="D92" s="48" t="s">
        <v>496</v>
      </c>
      <c r="E92" s="48">
        <v>1</v>
      </c>
      <c r="F92" s="48" t="s">
        <v>427</v>
      </c>
      <c r="I92" s="48">
        <f t="shared" si="3"/>
        <v>1</v>
      </c>
    </row>
    <row r="93" spans="1:9">
      <c r="A93" s="48">
        <v>92</v>
      </c>
      <c r="D93" s="48" t="s">
        <v>497</v>
      </c>
      <c r="E93" s="48">
        <v>1</v>
      </c>
      <c r="F93" s="48" t="s">
        <v>427</v>
      </c>
      <c r="I93" s="48">
        <f t="shared" si="3"/>
        <v>1</v>
      </c>
    </row>
    <row r="94" spans="1:9">
      <c r="A94" s="48">
        <v>93</v>
      </c>
      <c r="D94" s="48" t="s">
        <v>498</v>
      </c>
      <c r="E94" s="48">
        <v>1</v>
      </c>
      <c r="F94" s="48" t="s">
        <v>427</v>
      </c>
      <c r="I94" s="48">
        <f t="shared" si="3"/>
        <v>1</v>
      </c>
    </row>
    <row r="95" spans="1:9">
      <c r="A95" s="48">
        <v>94</v>
      </c>
      <c r="D95" s="48" t="s">
        <v>499</v>
      </c>
      <c r="E95" s="48">
        <v>1</v>
      </c>
      <c r="F95" s="48" t="s">
        <v>427</v>
      </c>
      <c r="I95" s="48">
        <f t="shared" si="3"/>
        <v>1</v>
      </c>
    </row>
    <row r="96" spans="1:9">
      <c r="A96" s="48">
        <v>95</v>
      </c>
      <c r="D96" s="48" t="s">
        <v>500</v>
      </c>
      <c r="E96" s="48">
        <v>6</v>
      </c>
      <c r="F96" s="48" t="s">
        <v>427</v>
      </c>
      <c r="I96" s="48">
        <f t="shared" si="3"/>
        <v>6</v>
      </c>
    </row>
    <row r="97" spans="1:9">
      <c r="A97" s="48">
        <v>96</v>
      </c>
      <c r="D97" s="48" t="s">
        <v>501</v>
      </c>
      <c r="E97" s="48">
        <v>1</v>
      </c>
      <c r="F97" s="48" t="s">
        <v>427</v>
      </c>
      <c r="I97" s="48">
        <f t="shared" si="3"/>
        <v>1</v>
      </c>
    </row>
    <row r="98" spans="1:9">
      <c r="A98" s="48">
        <v>97</v>
      </c>
      <c r="D98" s="48" t="s">
        <v>502</v>
      </c>
      <c r="E98" s="48">
        <v>1</v>
      </c>
      <c r="F98" s="48" t="s">
        <v>427</v>
      </c>
      <c r="I98" s="48">
        <f t="shared" si="3"/>
        <v>1</v>
      </c>
    </row>
    <row r="99" spans="1:9">
      <c r="A99" s="48">
        <v>98</v>
      </c>
      <c r="D99" s="48" t="s">
        <v>503</v>
      </c>
      <c r="E99" s="48">
        <v>1</v>
      </c>
      <c r="F99" s="48" t="s">
        <v>427</v>
      </c>
      <c r="I99" s="48">
        <f t="shared" si="3"/>
        <v>1</v>
      </c>
    </row>
    <row r="100" spans="1:9">
      <c r="A100" s="48">
        <v>99</v>
      </c>
      <c r="D100" s="48" t="s">
        <v>504</v>
      </c>
      <c r="E100" s="48">
        <v>1</v>
      </c>
      <c r="F100" s="48" t="s">
        <v>427</v>
      </c>
      <c r="I100" s="48">
        <f t="shared" si="3"/>
        <v>1</v>
      </c>
    </row>
    <row r="101" spans="1:9">
      <c r="A101" s="48">
        <v>100</v>
      </c>
      <c r="D101" s="48" t="s">
        <v>505</v>
      </c>
      <c r="E101" s="48">
        <v>4</v>
      </c>
      <c r="F101" s="48" t="s">
        <v>427</v>
      </c>
      <c r="I101" s="48">
        <f t="shared" si="3"/>
        <v>4</v>
      </c>
    </row>
    <row r="102" spans="1:9">
      <c r="A102" s="48">
        <v>101</v>
      </c>
      <c r="D102" s="48" t="s">
        <v>506</v>
      </c>
      <c r="E102" s="48">
        <v>6</v>
      </c>
      <c r="F102" s="48" t="s">
        <v>427</v>
      </c>
      <c r="I102" s="48">
        <f t="shared" si="3"/>
        <v>6</v>
      </c>
    </row>
    <row r="103" spans="1:9">
      <c r="A103" s="48">
        <v>102</v>
      </c>
      <c r="D103" s="48" t="s">
        <v>507</v>
      </c>
      <c r="E103" s="48">
        <v>1</v>
      </c>
      <c r="F103" s="48" t="s">
        <v>427</v>
      </c>
      <c r="I103" s="48">
        <f t="shared" si="3"/>
        <v>1</v>
      </c>
    </row>
    <row r="104" spans="1:9">
      <c r="A104" s="48">
        <v>103</v>
      </c>
      <c r="D104" s="48" t="s">
        <v>508</v>
      </c>
      <c r="E104" s="48">
        <v>4</v>
      </c>
      <c r="F104" s="48" t="s">
        <v>427</v>
      </c>
      <c r="I104" s="48">
        <f t="shared" si="3"/>
        <v>4</v>
      </c>
    </row>
    <row r="105" spans="1:9">
      <c r="A105" s="48">
        <v>104</v>
      </c>
      <c r="D105" s="48" t="s">
        <v>509</v>
      </c>
      <c r="E105" s="48">
        <v>2</v>
      </c>
      <c r="F105" s="48" t="s">
        <v>427</v>
      </c>
      <c r="I105" s="48">
        <f t="shared" si="3"/>
        <v>2</v>
      </c>
    </row>
    <row r="106" spans="1:9">
      <c r="A106" s="48">
        <v>105</v>
      </c>
      <c r="D106" s="48" t="s">
        <v>510</v>
      </c>
      <c r="E106" s="48">
        <v>28</v>
      </c>
      <c r="F106" s="48" t="s">
        <v>427</v>
      </c>
      <c r="I106" s="48">
        <f t="shared" si="3"/>
        <v>28</v>
      </c>
    </row>
    <row r="107" spans="1:9">
      <c r="A107" s="48">
        <v>106</v>
      </c>
      <c r="D107" s="48" t="s">
        <v>511</v>
      </c>
      <c r="E107" s="48">
        <v>5</v>
      </c>
      <c r="F107" s="48" t="s">
        <v>427</v>
      </c>
      <c r="I107" s="48">
        <f t="shared" si="3"/>
        <v>5</v>
      </c>
    </row>
    <row r="108" spans="1:9">
      <c r="A108" s="48">
        <v>107</v>
      </c>
      <c r="D108" s="48" t="s">
        <v>512</v>
      </c>
      <c r="E108" s="48">
        <v>1</v>
      </c>
      <c r="F108" s="48" t="s">
        <v>427</v>
      </c>
      <c r="I108" s="48">
        <f t="shared" si="3"/>
        <v>1</v>
      </c>
    </row>
    <row r="109" spans="1:9">
      <c r="A109" s="48">
        <v>108</v>
      </c>
      <c r="D109" s="48" t="s">
        <v>513</v>
      </c>
      <c r="E109" s="48">
        <v>7</v>
      </c>
      <c r="F109" s="48" t="s">
        <v>466</v>
      </c>
      <c r="I109" s="48">
        <f t="shared" si="3"/>
        <v>7</v>
      </c>
    </row>
    <row r="110" spans="1:9">
      <c r="A110" s="48">
        <v>109</v>
      </c>
      <c r="D110" s="48" t="s">
        <v>514</v>
      </c>
      <c r="E110" s="48">
        <v>1</v>
      </c>
      <c r="F110" s="48" t="s">
        <v>515</v>
      </c>
      <c r="I110" s="48">
        <f t="shared" si="3"/>
        <v>1</v>
      </c>
    </row>
    <row r="111" spans="1:9">
      <c r="A111" s="48">
        <v>110</v>
      </c>
      <c r="D111" s="48" t="s">
        <v>516</v>
      </c>
      <c r="E111" s="48">
        <v>1</v>
      </c>
      <c r="F111" s="48" t="s">
        <v>515</v>
      </c>
      <c r="I111" s="48">
        <f t="shared" si="3"/>
        <v>1</v>
      </c>
    </row>
    <row r="112" spans="1:9">
      <c r="A112" s="48">
        <v>111</v>
      </c>
      <c r="D112" s="48" t="s">
        <v>517</v>
      </c>
      <c r="E112" s="48">
        <v>1</v>
      </c>
      <c r="F112" s="48" t="s">
        <v>515</v>
      </c>
      <c r="I112" s="48">
        <f t="shared" si="3"/>
        <v>1</v>
      </c>
    </row>
    <row r="113" spans="1:9">
      <c r="A113" s="48">
        <v>112</v>
      </c>
      <c r="D113" s="48" t="s">
        <v>518</v>
      </c>
      <c r="E113" s="48">
        <v>1</v>
      </c>
      <c r="F113" s="48" t="s">
        <v>515</v>
      </c>
      <c r="I113" s="48">
        <f t="shared" si="3"/>
        <v>1</v>
      </c>
    </row>
    <row r="114" spans="1:9">
      <c r="A114" s="48">
        <v>113</v>
      </c>
      <c r="D114" s="48" t="s">
        <v>519</v>
      </c>
      <c r="E114" s="48">
        <v>1</v>
      </c>
      <c r="F114" s="48" t="s">
        <v>515</v>
      </c>
      <c r="I114" s="48">
        <f t="shared" si="3"/>
        <v>1</v>
      </c>
    </row>
    <row r="115" spans="1:9">
      <c r="A115" s="48">
        <v>114</v>
      </c>
      <c r="D115" s="48" t="s">
        <v>520</v>
      </c>
      <c r="E115" s="48">
        <v>1</v>
      </c>
      <c r="F115" s="48" t="s">
        <v>515</v>
      </c>
      <c r="I115" s="48">
        <f t="shared" si="3"/>
        <v>1</v>
      </c>
    </row>
    <row r="116" spans="1:9">
      <c r="A116" s="48">
        <v>115</v>
      </c>
      <c r="D116" s="48" t="s">
        <v>521</v>
      </c>
      <c r="E116" s="48">
        <v>1</v>
      </c>
      <c r="F116" s="48" t="s">
        <v>515</v>
      </c>
      <c r="I116" s="48">
        <f t="shared" si="3"/>
        <v>1</v>
      </c>
    </row>
    <row r="117" spans="1:9">
      <c r="A117" s="48">
        <v>116</v>
      </c>
      <c r="D117" s="48" t="s">
        <v>522</v>
      </c>
      <c r="E117" s="48">
        <v>1</v>
      </c>
      <c r="F117" s="48" t="s">
        <v>515</v>
      </c>
      <c r="I117" s="48">
        <f t="shared" si="3"/>
        <v>1</v>
      </c>
    </row>
    <row r="118" spans="1:9">
      <c r="A118" s="48">
        <v>117</v>
      </c>
      <c r="D118" s="48" t="s">
        <v>523</v>
      </c>
      <c r="E118" s="48">
        <v>2</v>
      </c>
      <c r="F118" s="48" t="s">
        <v>515</v>
      </c>
      <c r="I118" s="48">
        <f t="shared" si="3"/>
        <v>2</v>
      </c>
    </row>
    <row r="119" spans="1:9">
      <c r="A119" s="48">
        <v>118</v>
      </c>
      <c r="D119" s="48" t="s">
        <v>524</v>
      </c>
      <c r="E119" s="48">
        <v>1</v>
      </c>
      <c r="F119" s="48" t="s">
        <v>515</v>
      </c>
      <c r="I119" s="48">
        <f t="shared" si="3"/>
        <v>1</v>
      </c>
    </row>
    <row r="120" spans="1:9">
      <c r="A120" s="48">
        <v>119</v>
      </c>
      <c r="D120" s="48" t="s">
        <v>525</v>
      </c>
      <c r="E120" s="48">
        <v>1</v>
      </c>
      <c r="F120" s="48" t="s">
        <v>515</v>
      </c>
      <c r="I120" s="48">
        <f t="shared" si="3"/>
        <v>1</v>
      </c>
    </row>
    <row r="121" spans="1:9">
      <c r="A121" s="48">
        <v>120</v>
      </c>
      <c r="D121" s="48" t="s">
        <v>526</v>
      </c>
      <c r="E121" s="48">
        <v>1</v>
      </c>
      <c r="F121" s="48" t="s">
        <v>515</v>
      </c>
      <c r="I121" s="48">
        <f t="shared" si="3"/>
        <v>1</v>
      </c>
    </row>
    <row r="122" spans="1:9">
      <c r="A122" s="48">
        <v>121</v>
      </c>
      <c r="D122" s="48" t="s">
        <v>527</v>
      </c>
      <c r="E122" s="48">
        <v>1</v>
      </c>
      <c r="F122" s="48" t="s">
        <v>515</v>
      </c>
      <c r="I122" s="48">
        <f t="shared" si="3"/>
        <v>1</v>
      </c>
    </row>
    <row r="123" spans="1:9">
      <c r="A123" s="48">
        <v>122</v>
      </c>
      <c r="D123" s="48" t="s">
        <v>528</v>
      </c>
      <c r="E123" s="48">
        <v>1</v>
      </c>
      <c r="F123" s="48" t="s">
        <v>515</v>
      </c>
      <c r="I123" s="48">
        <f t="shared" si="3"/>
        <v>1</v>
      </c>
    </row>
    <row r="124" spans="1:9">
      <c r="A124" s="48">
        <v>123</v>
      </c>
      <c r="D124" s="48" t="s">
        <v>529</v>
      </c>
      <c r="E124" s="48">
        <v>4</v>
      </c>
      <c r="F124" s="48" t="s">
        <v>515</v>
      </c>
      <c r="I124" s="48">
        <f t="shared" si="3"/>
        <v>4</v>
      </c>
    </row>
    <row r="125" spans="1:9">
      <c r="A125" s="48">
        <v>124</v>
      </c>
      <c r="D125" s="48" t="s">
        <v>530</v>
      </c>
      <c r="E125" s="48">
        <v>1</v>
      </c>
      <c r="F125" s="48" t="s">
        <v>515</v>
      </c>
      <c r="I125" s="48">
        <f t="shared" si="3"/>
        <v>1</v>
      </c>
    </row>
    <row r="126" spans="1:9">
      <c r="A126" s="48">
        <v>125</v>
      </c>
      <c r="D126" s="48" t="s">
        <v>531</v>
      </c>
      <c r="E126" s="48">
        <v>2</v>
      </c>
      <c r="F126" s="48" t="s">
        <v>515</v>
      </c>
      <c r="I126" s="48">
        <f t="shared" si="3"/>
        <v>2</v>
      </c>
    </row>
    <row r="127" spans="1:9">
      <c r="A127" s="48">
        <v>126</v>
      </c>
      <c r="D127" s="48" t="s">
        <v>532</v>
      </c>
      <c r="E127" s="48">
        <v>1</v>
      </c>
      <c r="F127" s="48" t="s">
        <v>515</v>
      </c>
      <c r="I127" s="48">
        <f t="shared" si="3"/>
        <v>1</v>
      </c>
    </row>
    <row r="128" spans="1:9">
      <c r="A128" s="48">
        <v>127</v>
      </c>
      <c r="D128" s="48" t="s">
        <v>533</v>
      </c>
      <c r="E128" s="48">
        <v>3</v>
      </c>
      <c r="F128" s="48" t="s">
        <v>515</v>
      </c>
      <c r="I128" s="48">
        <f t="shared" si="3"/>
        <v>3</v>
      </c>
    </row>
    <row r="129" spans="1:9">
      <c r="A129" s="48">
        <v>128</v>
      </c>
      <c r="D129" s="48" t="s">
        <v>534</v>
      </c>
      <c r="E129" s="48">
        <v>1</v>
      </c>
      <c r="F129" s="48" t="s">
        <v>515</v>
      </c>
      <c r="I129" s="48">
        <f t="shared" si="3"/>
        <v>1</v>
      </c>
    </row>
    <row r="130" spans="1:9">
      <c r="A130" s="48">
        <v>129</v>
      </c>
      <c r="D130" s="48" t="s">
        <v>535</v>
      </c>
      <c r="E130" s="48">
        <v>1</v>
      </c>
      <c r="F130" s="48" t="s">
        <v>515</v>
      </c>
      <c r="I130" s="48">
        <f t="shared" ref="I130:I183" si="4">E130-H130</f>
        <v>1</v>
      </c>
    </row>
    <row r="131" spans="1:9">
      <c r="A131" s="48">
        <v>130</v>
      </c>
      <c r="D131" s="48" t="s">
        <v>536</v>
      </c>
      <c r="E131" s="48">
        <v>1</v>
      </c>
      <c r="F131" s="48" t="s">
        <v>515</v>
      </c>
      <c r="I131" s="48">
        <f t="shared" si="4"/>
        <v>1</v>
      </c>
    </row>
    <row r="132" spans="1:9">
      <c r="A132" s="48">
        <v>131</v>
      </c>
      <c r="D132" s="48" t="s">
        <v>537</v>
      </c>
      <c r="E132" s="48">
        <v>2</v>
      </c>
      <c r="F132" s="48" t="s">
        <v>515</v>
      </c>
      <c r="I132" s="48">
        <f t="shared" si="4"/>
        <v>2</v>
      </c>
    </row>
    <row r="133" spans="1:9">
      <c r="A133" s="48">
        <v>132</v>
      </c>
      <c r="D133" s="48" t="s">
        <v>538</v>
      </c>
      <c r="E133" s="48">
        <v>2</v>
      </c>
      <c r="F133" s="48" t="s">
        <v>515</v>
      </c>
      <c r="I133" s="48">
        <f t="shared" si="4"/>
        <v>2</v>
      </c>
    </row>
    <row r="134" spans="1:9">
      <c r="A134" s="48">
        <v>133</v>
      </c>
      <c r="D134" s="48" t="s">
        <v>539</v>
      </c>
      <c r="E134" s="48">
        <v>1</v>
      </c>
      <c r="F134" s="48" t="s">
        <v>515</v>
      </c>
      <c r="I134" s="48">
        <f t="shared" si="4"/>
        <v>1</v>
      </c>
    </row>
    <row r="135" spans="1:9">
      <c r="A135" s="48">
        <v>134</v>
      </c>
      <c r="D135" s="48" t="s">
        <v>540</v>
      </c>
      <c r="E135" s="48">
        <v>1</v>
      </c>
      <c r="F135" s="48" t="s">
        <v>515</v>
      </c>
      <c r="I135" s="48">
        <f t="shared" si="4"/>
        <v>1</v>
      </c>
    </row>
    <row r="136" spans="1:9">
      <c r="A136" s="48">
        <v>135</v>
      </c>
      <c r="D136" s="48" t="s">
        <v>541</v>
      </c>
      <c r="E136" s="48">
        <v>3</v>
      </c>
      <c r="F136" s="48" t="s">
        <v>515</v>
      </c>
      <c r="I136" s="48">
        <f t="shared" si="4"/>
        <v>3</v>
      </c>
    </row>
    <row r="137" spans="1:9">
      <c r="A137" s="48">
        <v>136</v>
      </c>
      <c r="D137" s="48" t="s">
        <v>542</v>
      </c>
      <c r="E137" s="48">
        <v>1</v>
      </c>
      <c r="F137" s="48" t="s">
        <v>515</v>
      </c>
      <c r="I137" s="48">
        <f t="shared" si="4"/>
        <v>1</v>
      </c>
    </row>
    <row r="138" spans="1:9">
      <c r="A138" s="48">
        <v>137</v>
      </c>
      <c r="D138" s="48" t="s">
        <v>543</v>
      </c>
      <c r="E138" s="48">
        <v>2</v>
      </c>
      <c r="F138" s="48" t="s">
        <v>515</v>
      </c>
      <c r="I138" s="48">
        <f t="shared" si="4"/>
        <v>2</v>
      </c>
    </row>
    <row r="139" spans="1:9">
      <c r="A139" s="48">
        <v>138</v>
      </c>
      <c r="D139" s="48" t="s">
        <v>416</v>
      </c>
      <c r="E139" s="48">
        <v>1</v>
      </c>
      <c r="F139" s="48" t="s">
        <v>515</v>
      </c>
      <c r="I139" s="48">
        <f t="shared" si="4"/>
        <v>1</v>
      </c>
    </row>
    <row r="140" spans="1:9">
      <c r="A140" s="48">
        <v>139</v>
      </c>
      <c r="D140" s="48" t="s">
        <v>544</v>
      </c>
      <c r="E140" s="48">
        <v>16</v>
      </c>
      <c r="F140" s="48" t="s">
        <v>515</v>
      </c>
      <c r="I140" s="48">
        <f t="shared" si="4"/>
        <v>16</v>
      </c>
    </row>
    <row r="141" spans="1:9">
      <c r="A141" s="48">
        <v>140</v>
      </c>
      <c r="D141" s="48" t="s">
        <v>545</v>
      </c>
      <c r="E141" s="48" t="s">
        <v>546</v>
      </c>
      <c r="F141" s="48" t="s">
        <v>515</v>
      </c>
      <c r="I141" s="48" t="e">
        <f t="shared" si="4"/>
        <v>#VALUE!</v>
      </c>
    </row>
    <row r="142" spans="1:9">
      <c r="A142" s="48">
        <v>141</v>
      </c>
      <c r="D142" s="48" t="s">
        <v>547</v>
      </c>
      <c r="E142" s="48">
        <v>1</v>
      </c>
      <c r="F142" s="48" t="s">
        <v>515</v>
      </c>
      <c r="I142" s="48">
        <f t="shared" si="4"/>
        <v>1</v>
      </c>
    </row>
    <row r="143" spans="1:9">
      <c r="A143" s="48">
        <v>142</v>
      </c>
      <c r="D143" s="48" t="s">
        <v>548</v>
      </c>
      <c r="E143" s="48">
        <v>1</v>
      </c>
      <c r="F143" s="48" t="s">
        <v>515</v>
      </c>
      <c r="I143" s="48">
        <f t="shared" si="4"/>
        <v>1</v>
      </c>
    </row>
    <row r="144" spans="1:9">
      <c r="A144" s="48">
        <v>143</v>
      </c>
      <c r="D144" s="48" t="s">
        <v>549</v>
      </c>
      <c r="E144" s="48">
        <v>5</v>
      </c>
      <c r="F144" s="48" t="s">
        <v>515</v>
      </c>
      <c r="I144" s="48">
        <f t="shared" si="4"/>
        <v>5</v>
      </c>
    </row>
    <row r="145" spans="1:9">
      <c r="A145" s="48">
        <v>144</v>
      </c>
      <c r="D145" s="48" t="s">
        <v>550</v>
      </c>
      <c r="E145" s="48">
        <v>1</v>
      </c>
      <c r="F145" s="48" t="s">
        <v>515</v>
      </c>
      <c r="I145" s="48">
        <f t="shared" si="4"/>
        <v>1</v>
      </c>
    </row>
    <row r="146" spans="1:9">
      <c r="A146" s="48">
        <v>145</v>
      </c>
      <c r="D146" s="48" t="s">
        <v>551</v>
      </c>
      <c r="E146" s="48">
        <v>8</v>
      </c>
      <c r="F146" s="48" t="s">
        <v>515</v>
      </c>
      <c r="I146" s="48">
        <f t="shared" si="4"/>
        <v>8</v>
      </c>
    </row>
    <row r="147" spans="1:9">
      <c r="A147" s="48">
        <v>146</v>
      </c>
      <c r="D147" s="48" t="s">
        <v>552</v>
      </c>
      <c r="E147" s="48">
        <v>8</v>
      </c>
      <c r="F147" s="48" t="s">
        <v>515</v>
      </c>
      <c r="I147" s="48">
        <f t="shared" si="4"/>
        <v>8</v>
      </c>
    </row>
    <row r="148" spans="1:9">
      <c r="A148" s="48">
        <v>147</v>
      </c>
      <c r="D148" s="48" t="s">
        <v>553</v>
      </c>
      <c r="E148" s="48">
        <v>1</v>
      </c>
      <c r="F148" s="48" t="s">
        <v>515</v>
      </c>
      <c r="I148" s="48">
        <f t="shared" si="4"/>
        <v>1</v>
      </c>
    </row>
    <row r="149" spans="1:9">
      <c r="A149" s="48">
        <v>148</v>
      </c>
      <c r="D149" s="48" t="s">
        <v>554</v>
      </c>
      <c r="E149" s="48">
        <v>1</v>
      </c>
      <c r="F149" s="48" t="s">
        <v>515</v>
      </c>
      <c r="I149" s="48">
        <f t="shared" si="4"/>
        <v>1</v>
      </c>
    </row>
    <row r="150" spans="1:9">
      <c r="A150" s="48">
        <v>149</v>
      </c>
      <c r="D150" s="48" t="s">
        <v>555</v>
      </c>
      <c r="E150" s="48">
        <v>1</v>
      </c>
      <c r="F150" s="48" t="s">
        <v>515</v>
      </c>
      <c r="I150" s="48">
        <f t="shared" si="4"/>
        <v>1</v>
      </c>
    </row>
    <row r="151" spans="1:9">
      <c r="A151" s="48">
        <v>150</v>
      </c>
      <c r="D151" s="48" t="s">
        <v>556</v>
      </c>
      <c r="E151" s="48">
        <v>1</v>
      </c>
      <c r="F151" s="48" t="s">
        <v>557</v>
      </c>
      <c r="I151" s="48">
        <f t="shared" si="4"/>
        <v>1</v>
      </c>
    </row>
    <row r="152" spans="1:9">
      <c r="A152" s="48">
        <v>151</v>
      </c>
      <c r="D152" s="48" t="s">
        <v>211</v>
      </c>
      <c r="E152" s="48">
        <v>7</v>
      </c>
      <c r="F152" s="48" t="s">
        <v>557</v>
      </c>
      <c r="I152" s="48">
        <f t="shared" si="4"/>
        <v>7</v>
      </c>
    </row>
    <row r="153" spans="1:9">
      <c r="A153" s="48">
        <v>152</v>
      </c>
      <c r="D153" s="48" t="s">
        <v>558</v>
      </c>
      <c r="E153" s="48">
        <v>1</v>
      </c>
      <c r="F153" s="48" t="s">
        <v>418</v>
      </c>
      <c r="I153" s="48">
        <f t="shared" si="4"/>
        <v>1</v>
      </c>
    </row>
    <row r="154" spans="1:9">
      <c r="A154" s="48">
        <v>153</v>
      </c>
      <c r="D154" s="48" t="s">
        <v>559</v>
      </c>
      <c r="E154" s="48">
        <v>6</v>
      </c>
      <c r="F154" s="48" t="s">
        <v>515</v>
      </c>
      <c r="I154" s="48">
        <f t="shared" si="4"/>
        <v>6</v>
      </c>
    </row>
    <row r="155" spans="1:9">
      <c r="A155" s="48">
        <v>154</v>
      </c>
      <c r="D155" s="48" t="s">
        <v>560</v>
      </c>
      <c r="E155" s="48">
        <v>1</v>
      </c>
      <c r="F155" s="48" t="s">
        <v>515</v>
      </c>
      <c r="I155" s="48">
        <f t="shared" si="4"/>
        <v>1</v>
      </c>
    </row>
    <row r="156" spans="1:9">
      <c r="A156" s="48">
        <v>155</v>
      </c>
      <c r="D156" s="48" t="s">
        <v>561</v>
      </c>
      <c r="E156" s="48">
        <v>1</v>
      </c>
      <c r="F156" s="48" t="s">
        <v>515</v>
      </c>
      <c r="I156" s="48">
        <f t="shared" si="4"/>
        <v>1</v>
      </c>
    </row>
    <row r="157" spans="1:9">
      <c r="A157" s="48">
        <v>156</v>
      </c>
      <c r="D157" s="48" t="s">
        <v>562</v>
      </c>
      <c r="E157" s="48">
        <v>1</v>
      </c>
      <c r="F157" s="48" t="s">
        <v>515</v>
      </c>
      <c r="I157" s="48">
        <f t="shared" si="4"/>
        <v>1</v>
      </c>
    </row>
    <row r="158" spans="1:9">
      <c r="A158" s="48">
        <v>157</v>
      </c>
      <c r="D158" s="48" t="s">
        <v>563</v>
      </c>
      <c r="E158" s="48">
        <v>6</v>
      </c>
      <c r="F158" s="48" t="s">
        <v>418</v>
      </c>
      <c r="I158" s="48">
        <f t="shared" si="4"/>
        <v>6</v>
      </c>
    </row>
    <row r="159" spans="1:9">
      <c r="A159" s="48">
        <v>158</v>
      </c>
      <c r="D159" s="48" t="s">
        <v>564</v>
      </c>
      <c r="E159" s="48">
        <v>1</v>
      </c>
      <c r="F159" s="48" t="s">
        <v>557</v>
      </c>
      <c r="I159" s="48">
        <f t="shared" si="4"/>
        <v>1</v>
      </c>
    </row>
    <row r="160" spans="1:9">
      <c r="A160" s="48">
        <v>159</v>
      </c>
      <c r="D160" s="48" t="s">
        <v>565</v>
      </c>
      <c r="E160" s="48">
        <v>4</v>
      </c>
      <c r="F160" s="48" t="s">
        <v>557</v>
      </c>
      <c r="I160" s="48">
        <f t="shared" si="4"/>
        <v>4</v>
      </c>
    </row>
    <row r="161" spans="1:9">
      <c r="A161" s="48">
        <v>160</v>
      </c>
      <c r="D161" s="48" t="s">
        <v>566</v>
      </c>
      <c r="E161" s="48">
        <v>2</v>
      </c>
      <c r="F161" s="48" t="s">
        <v>557</v>
      </c>
      <c r="I161" s="48">
        <f t="shared" si="4"/>
        <v>2</v>
      </c>
    </row>
    <row r="162" spans="1:9">
      <c r="A162" s="48">
        <v>161</v>
      </c>
      <c r="D162" s="48" t="s">
        <v>567</v>
      </c>
      <c r="E162" s="48">
        <v>1</v>
      </c>
      <c r="F162" s="48" t="s">
        <v>557</v>
      </c>
      <c r="G162" s="48" t="s">
        <v>568</v>
      </c>
      <c r="I162" s="48">
        <f t="shared" si="4"/>
        <v>1</v>
      </c>
    </row>
    <row r="163" spans="1:9">
      <c r="A163" s="48">
        <v>162</v>
      </c>
      <c r="D163" s="48" t="s">
        <v>559</v>
      </c>
      <c r="E163" s="48">
        <v>6</v>
      </c>
      <c r="F163" s="48" t="s">
        <v>515</v>
      </c>
      <c r="I163" s="48">
        <f t="shared" si="4"/>
        <v>6</v>
      </c>
    </row>
    <row r="164" spans="1:9">
      <c r="A164" s="48">
        <v>163</v>
      </c>
      <c r="D164" s="48" t="s">
        <v>569</v>
      </c>
      <c r="E164" s="48">
        <v>20</v>
      </c>
      <c r="F164" s="48" t="s">
        <v>515</v>
      </c>
      <c r="I164" s="48">
        <f t="shared" si="4"/>
        <v>20</v>
      </c>
    </row>
    <row r="165" spans="1:9">
      <c r="A165" s="48">
        <v>164</v>
      </c>
      <c r="D165" s="48" t="s">
        <v>570</v>
      </c>
      <c r="E165" s="48">
        <v>26</v>
      </c>
      <c r="F165" s="48" t="s">
        <v>515</v>
      </c>
      <c r="I165" s="48">
        <f t="shared" si="4"/>
        <v>26</v>
      </c>
    </row>
    <row r="166" spans="1:9">
      <c r="A166" s="48">
        <v>165</v>
      </c>
      <c r="D166" s="48" t="s">
        <v>506</v>
      </c>
      <c r="E166" s="48">
        <v>2</v>
      </c>
      <c r="F166" s="48" t="s">
        <v>515</v>
      </c>
      <c r="I166" s="48">
        <f t="shared" si="4"/>
        <v>2</v>
      </c>
    </row>
    <row r="167" spans="1:9">
      <c r="A167" s="48">
        <v>166</v>
      </c>
      <c r="D167" s="48" t="s">
        <v>571</v>
      </c>
      <c r="E167" s="48">
        <v>8</v>
      </c>
      <c r="F167" s="48" t="s">
        <v>515</v>
      </c>
      <c r="I167" s="48">
        <f t="shared" si="4"/>
        <v>8</v>
      </c>
    </row>
    <row r="168" spans="1:9">
      <c r="A168" s="48">
        <v>167</v>
      </c>
      <c r="D168" s="48" t="s">
        <v>572</v>
      </c>
      <c r="E168" s="48">
        <v>1</v>
      </c>
      <c r="F168" s="48" t="s">
        <v>515</v>
      </c>
      <c r="I168" s="48">
        <f t="shared" si="4"/>
        <v>1</v>
      </c>
    </row>
    <row r="169" spans="1:9">
      <c r="A169" s="48">
        <v>168</v>
      </c>
      <c r="D169" s="48" t="s">
        <v>573</v>
      </c>
      <c r="E169" s="48">
        <v>2</v>
      </c>
      <c r="F169" s="48" t="s">
        <v>515</v>
      </c>
      <c r="I169" s="48">
        <f t="shared" si="4"/>
        <v>2</v>
      </c>
    </row>
    <row r="170" spans="1:9">
      <c r="A170" s="48">
        <v>169</v>
      </c>
      <c r="D170" s="48" t="s">
        <v>574</v>
      </c>
      <c r="E170" s="48">
        <v>2</v>
      </c>
      <c r="F170" s="48" t="s">
        <v>515</v>
      </c>
      <c r="I170" s="48">
        <f t="shared" si="4"/>
        <v>2</v>
      </c>
    </row>
    <row r="171" spans="1:9">
      <c r="A171" s="48">
        <v>170</v>
      </c>
      <c r="D171" s="48" t="s">
        <v>575</v>
      </c>
      <c r="E171" s="48">
        <v>5</v>
      </c>
      <c r="F171" s="48" t="s">
        <v>515</v>
      </c>
      <c r="I171" s="48">
        <f t="shared" si="4"/>
        <v>5</v>
      </c>
    </row>
    <row r="172" spans="1:9">
      <c r="A172" s="48">
        <v>171</v>
      </c>
      <c r="D172" s="48" t="s">
        <v>576</v>
      </c>
      <c r="E172" s="48">
        <v>2</v>
      </c>
      <c r="F172" s="48" t="s">
        <v>577</v>
      </c>
      <c r="I172" s="48">
        <f t="shared" si="4"/>
        <v>2</v>
      </c>
    </row>
    <row r="173" spans="1:9">
      <c r="A173" s="48">
        <v>172</v>
      </c>
      <c r="D173" s="48" t="s">
        <v>578</v>
      </c>
      <c r="E173" s="48">
        <v>1</v>
      </c>
      <c r="F173" s="48" t="s">
        <v>577</v>
      </c>
      <c r="I173" s="48">
        <f t="shared" si="4"/>
        <v>1</v>
      </c>
    </row>
    <row r="174" spans="1:9">
      <c r="A174" s="48">
        <v>173</v>
      </c>
      <c r="D174" s="48" t="s">
        <v>579</v>
      </c>
      <c r="E174" s="48">
        <v>2</v>
      </c>
      <c r="F174" s="48" t="s">
        <v>577</v>
      </c>
      <c r="I174" s="48">
        <f t="shared" si="4"/>
        <v>2</v>
      </c>
    </row>
    <row r="175" spans="1:9">
      <c r="A175" s="48">
        <v>174</v>
      </c>
      <c r="D175" s="48" t="s">
        <v>580</v>
      </c>
      <c r="E175" s="48">
        <v>2</v>
      </c>
      <c r="F175" s="48" t="s">
        <v>577</v>
      </c>
      <c r="I175" s="48">
        <f t="shared" si="4"/>
        <v>2</v>
      </c>
    </row>
    <row r="176" spans="1:9">
      <c r="A176" s="48">
        <v>175</v>
      </c>
      <c r="D176" s="48" t="s">
        <v>581</v>
      </c>
      <c r="E176" s="48">
        <v>1</v>
      </c>
      <c r="F176" s="48" t="s">
        <v>577</v>
      </c>
      <c r="I176" s="48">
        <f t="shared" si="4"/>
        <v>1</v>
      </c>
    </row>
    <row r="177" spans="1:9">
      <c r="A177" s="48">
        <v>176</v>
      </c>
      <c r="D177" s="48" t="s">
        <v>582</v>
      </c>
      <c r="E177" s="48">
        <v>1</v>
      </c>
      <c r="F177" s="48" t="s">
        <v>445</v>
      </c>
      <c r="I177" s="48">
        <f t="shared" si="4"/>
        <v>1</v>
      </c>
    </row>
    <row r="178" spans="1:9">
      <c r="A178" s="48">
        <v>177</v>
      </c>
      <c r="D178" s="48" t="s">
        <v>583</v>
      </c>
      <c r="E178" s="48">
        <v>1</v>
      </c>
      <c r="F178" s="48" t="s">
        <v>445</v>
      </c>
      <c r="I178" s="48">
        <f t="shared" si="4"/>
        <v>1</v>
      </c>
    </row>
    <row r="179" spans="1:9">
      <c r="A179" s="48">
        <v>178</v>
      </c>
      <c r="D179" s="48" t="s">
        <v>584</v>
      </c>
      <c r="E179" s="48">
        <v>1</v>
      </c>
      <c r="F179" s="48" t="s">
        <v>445</v>
      </c>
      <c r="I179" s="48">
        <f t="shared" si="4"/>
        <v>1</v>
      </c>
    </row>
    <row r="180" spans="1:9">
      <c r="A180" s="48">
        <v>179</v>
      </c>
      <c r="D180" s="48" t="s">
        <v>585</v>
      </c>
      <c r="E180" s="48">
        <v>1</v>
      </c>
      <c r="F180" s="48" t="s">
        <v>445</v>
      </c>
      <c r="I180" s="48">
        <f t="shared" si="4"/>
        <v>1</v>
      </c>
    </row>
    <row r="181" spans="1:9">
      <c r="A181" s="48">
        <v>180</v>
      </c>
      <c r="D181" s="48" t="s">
        <v>586</v>
      </c>
      <c r="E181" s="48">
        <v>1</v>
      </c>
      <c r="F181" s="48" t="s">
        <v>445</v>
      </c>
      <c r="I181" s="48">
        <f t="shared" si="4"/>
        <v>1</v>
      </c>
    </row>
    <row r="182" spans="1:9">
      <c r="A182" s="48">
        <v>181</v>
      </c>
      <c r="D182" s="48" t="s">
        <v>587</v>
      </c>
      <c r="E182" s="48">
        <v>4</v>
      </c>
      <c r="F182" s="48" t="s">
        <v>445</v>
      </c>
      <c r="G182" s="48" t="s">
        <v>568</v>
      </c>
      <c r="I182" s="48">
        <f t="shared" si="4"/>
        <v>4</v>
      </c>
    </row>
    <row r="183" spans="1:9">
      <c r="A183" s="48">
        <v>182</v>
      </c>
      <c r="D183" s="48" t="s">
        <v>588</v>
      </c>
      <c r="E183" s="48">
        <v>1</v>
      </c>
      <c r="G183" s="48" t="s">
        <v>568</v>
      </c>
      <c r="I183" s="48">
        <f t="shared" si="4"/>
        <v>1</v>
      </c>
    </row>
    <row r="184" spans="1:9">
      <c r="A184" s="48">
        <v>183</v>
      </c>
      <c r="D184" s="48" t="s">
        <v>589</v>
      </c>
      <c r="E184" s="48">
        <v>1</v>
      </c>
      <c r="F184" s="48" t="s">
        <v>515</v>
      </c>
      <c r="I184" s="48">
        <f t="shared" ref="I184:I190" si="5">E184-H184</f>
        <v>1</v>
      </c>
    </row>
    <row r="185" spans="1:9">
      <c r="A185" s="48">
        <v>184</v>
      </c>
      <c r="D185" s="48" t="s">
        <v>590</v>
      </c>
      <c r="E185" s="48">
        <v>1</v>
      </c>
      <c r="F185" s="48" t="s">
        <v>515</v>
      </c>
      <c r="I185" s="48">
        <f t="shared" si="5"/>
        <v>1</v>
      </c>
    </row>
    <row r="186" spans="1:9">
      <c r="A186" s="48">
        <v>185</v>
      </c>
      <c r="D186" s="48" t="s">
        <v>591</v>
      </c>
      <c r="E186" s="48">
        <v>1</v>
      </c>
      <c r="I186" s="48">
        <f t="shared" si="5"/>
        <v>1</v>
      </c>
    </row>
    <row r="187" spans="1:9">
      <c r="A187" s="48">
        <v>186</v>
      </c>
      <c r="D187" s="48" t="s">
        <v>592</v>
      </c>
      <c r="E187" s="48">
        <v>4</v>
      </c>
      <c r="I187" s="48">
        <f t="shared" si="5"/>
        <v>4</v>
      </c>
    </row>
    <row r="188" spans="1:9">
      <c r="A188" s="48">
        <v>187</v>
      </c>
      <c r="D188" s="48" t="s">
        <v>593</v>
      </c>
      <c r="E188" s="48">
        <v>1</v>
      </c>
      <c r="F188" s="48" t="s">
        <v>515</v>
      </c>
      <c r="I188" s="48">
        <f t="shared" si="5"/>
        <v>1</v>
      </c>
    </row>
    <row r="189" spans="1:9">
      <c r="A189" s="48">
        <v>188</v>
      </c>
      <c r="D189" s="48" t="s">
        <v>594</v>
      </c>
      <c r="E189" s="48">
        <v>1</v>
      </c>
      <c r="I189" s="48">
        <f t="shared" si="5"/>
        <v>1</v>
      </c>
    </row>
    <row r="190" spans="1:9">
      <c r="A190" s="48">
        <v>189</v>
      </c>
      <c r="D190" s="48" t="s">
        <v>588</v>
      </c>
      <c r="E190" s="48">
        <v>5</v>
      </c>
      <c r="F190" s="48" t="s">
        <v>595</v>
      </c>
      <c r="I190" s="48">
        <f t="shared" si="5"/>
        <v>5</v>
      </c>
    </row>
    <row r="191" spans="1:9" s="46" customFormat="1">
      <c r="A191" s="51">
        <v>190</v>
      </c>
      <c r="B191" s="51" t="s">
        <v>596</v>
      </c>
      <c r="D191" s="52" t="s">
        <v>597</v>
      </c>
      <c r="E191" s="52">
        <v>4</v>
      </c>
      <c r="F191" s="52" t="s">
        <v>515</v>
      </c>
      <c r="G191" s="51"/>
      <c r="H191" s="51"/>
      <c r="I191" s="51"/>
    </row>
    <row r="192" spans="1:9">
      <c r="A192" s="48">
        <v>191</v>
      </c>
      <c r="B192" s="51" t="s">
        <v>596</v>
      </c>
      <c r="D192" s="53" t="s">
        <v>598</v>
      </c>
      <c r="E192" s="53"/>
      <c r="F192" s="53" t="s">
        <v>427</v>
      </c>
    </row>
    <row r="193" spans="1:9">
      <c r="A193" s="48">
        <v>192</v>
      </c>
      <c r="B193" s="51" t="s">
        <v>596</v>
      </c>
      <c r="D193" s="53" t="s">
        <v>594</v>
      </c>
      <c r="E193" s="53"/>
      <c r="F193" s="53" t="s">
        <v>427</v>
      </c>
    </row>
    <row r="194" spans="1:9" s="47" customFormat="1">
      <c r="A194" s="54">
        <v>193</v>
      </c>
      <c r="B194" s="54"/>
      <c r="C194" s="54" t="s">
        <v>599</v>
      </c>
      <c r="D194" s="55" t="s">
        <v>600</v>
      </c>
      <c r="E194" s="55"/>
      <c r="F194" s="55" t="s">
        <v>601</v>
      </c>
      <c r="G194" s="54"/>
      <c r="H194" s="54"/>
      <c r="I194" s="54"/>
    </row>
    <row r="195" spans="1:9">
      <c r="A195" s="48">
        <v>194</v>
      </c>
      <c r="B195" s="51" t="s">
        <v>596</v>
      </c>
      <c r="D195" s="53" t="s">
        <v>602</v>
      </c>
      <c r="E195" s="53"/>
      <c r="F195" s="53" t="s">
        <v>515</v>
      </c>
    </row>
    <row r="196" spans="1:9">
      <c r="A196" s="48">
        <v>195</v>
      </c>
      <c r="B196" s="51" t="s">
        <v>596</v>
      </c>
      <c r="D196" s="53" t="s">
        <v>603</v>
      </c>
      <c r="E196" s="53">
        <v>2</v>
      </c>
      <c r="F196" s="53" t="s">
        <v>427</v>
      </c>
    </row>
    <row r="197" spans="1:9" s="47" customFormat="1">
      <c r="A197" s="54">
        <v>196</v>
      </c>
      <c r="B197" s="54" t="s">
        <v>596</v>
      </c>
      <c r="C197" s="54"/>
      <c r="D197" s="55" t="s">
        <v>604</v>
      </c>
      <c r="E197" s="55">
        <v>10</v>
      </c>
      <c r="F197" s="54" t="s">
        <v>605</v>
      </c>
      <c r="G197" s="54" t="s">
        <v>606</v>
      </c>
      <c r="H197" s="54"/>
      <c r="I197" s="54"/>
    </row>
    <row r="198" spans="1:9" s="47" customFormat="1">
      <c r="A198" s="54">
        <v>197</v>
      </c>
      <c r="B198" s="54" t="s">
        <v>596</v>
      </c>
      <c r="C198" s="54"/>
      <c r="D198" s="55" t="s">
        <v>607</v>
      </c>
      <c r="E198" s="55"/>
      <c r="F198" s="55" t="s">
        <v>427</v>
      </c>
      <c r="G198" s="54" t="s">
        <v>608</v>
      </c>
      <c r="H198" s="47" t="s">
        <v>609</v>
      </c>
      <c r="I198" s="54"/>
    </row>
    <row r="199" spans="1:9">
      <c r="A199" s="48">
        <v>198</v>
      </c>
      <c r="B199" s="51" t="s">
        <v>596</v>
      </c>
      <c r="D199" s="53" t="s">
        <v>610</v>
      </c>
      <c r="E199" s="53">
        <v>2</v>
      </c>
      <c r="F199" s="53" t="s">
        <v>577</v>
      </c>
    </row>
    <row r="200" spans="1:9">
      <c r="A200" s="48">
        <v>199</v>
      </c>
      <c r="B200" s="51" t="s">
        <v>596</v>
      </c>
      <c r="D200" s="53" t="s">
        <v>611</v>
      </c>
      <c r="E200" s="53"/>
      <c r="F200" s="53" t="s">
        <v>612</v>
      </c>
    </row>
    <row r="201" spans="1:9">
      <c r="A201" s="48">
        <v>200</v>
      </c>
      <c r="B201" s="51" t="s">
        <v>596</v>
      </c>
      <c r="D201" s="53" t="s">
        <v>613</v>
      </c>
      <c r="E201" s="53"/>
      <c r="F201" s="53" t="s">
        <v>612</v>
      </c>
    </row>
    <row r="202" spans="1:9">
      <c r="A202" s="48">
        <v>201</v>
      </c>
      <c r="B202" s="51" t="s">
        <v>596</v>
      </c>
      <c r="D202" s="53" t="s">
        <v>614</v>
      </c>
      <c r="E202" s="53"/>
      <c r="F202" s="53"/>
    </row>
    <row r="203" spans="1:9">
      <c r="A203" s="48">
        <v>202</v>
      </c>
      <c r="B203" s="51" t="s">
        <v>596</v>
      </c>
      <c r="D203" s="48" t="s">
        <v>615</v>
      </c>
    </row>
    <row r="204" spans="1:9">
      <c r="A204" s="48">
        <v>203</v>
      </c>
      <c r="B204" s="56">
        <v>45577</v>
      </c>
      <c r="D204" s="48" t="s">
        <v>616</v>
      </c>
      <c r="E204" s="48">
        <v>18</v>
      </c>
      <c r="F204" s="48" t="s">
        <v>617</v>
      </c>
    </row>
    <row r="205" spans="1:9">
      <c r="A205" s="48">
        <v>204</v>
      </c>
      <c r="B205" s="48" t="s">
        <v>618</v>
      </c>
      <c r="D205" s="48" t="s">
        <v>616</v>
      </c>
      <c r="E205" s="48">
        <v>10</v>
      </c>
      <c r="F205" s="48" t="s">
        <v>617</v>
      </c>
    </row>
    <row r="206" spans="1:9" s="47" customFormat="1">
      <c r="A206" s="54">
        <v>205</v>
      </c>
      <c r="B206" s="57">
        <v>45842</v>
      </c>
      <c r="C206" s="57">
        <v>45842</v>
      </c>
      <c r="D206" s="54" t="s">
        <v>619</v>
      </c>
      <c r="E206" s="54">
        <v>1</v>
      </c>
      <c r="F206" s="54" t="s">
        <v>620</v>
      </c>
      <c r="G206" s="54"/>
      <c r="H206" s="54" t="s">
        <v>621</v>
      </c>
      <c r="I206" s="54"/>
    </row>
  </sheetData>
  <autoFilter ref="A1:I206" xr:uid="{00000000-0009-0000-0000-000007000000}"/>
  <pageMargins left="0.7" right="0.7" top="0.75" bottom="0.75" header="0.3" footer="0.3"/>
  <pageSetup paperSize="9" orientation="portrait" horizontalDpi="360" verticalDpi="36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44"/>
  <sheetViews>
    <sheetView topLeftCell="A16" workbookViewId="0">
      <selection activeCell="K27" sqref="K27"/>
    </sheetView>
  </sheetViews>
  <sheetFormatPr defaultColWidth="9" defaultRowHeight="14.5"/>
  <cols>
    <col min="1" max="1" width="8.08984375" customWidth="1"/>
    <col min="2" max="2" width="33.08984375" customWidth="1"/>
    <col min="3" max="3" width="22" customWidth="1"/>
    <col min="4" max="4" width="8.90625" customWidth="1"/>
  </cols>
  <sheetData>
    <row r="1" spans="1:3" ht="15.5">
      <c r="A1" s="32" t="s">
        <v>385</v>
      </c>
      <c r="B1" s="32" t="s">
        <v>622</v>
      </c>
      <c r="C1" s="32" t="s">
        <v>389</v>
      </c>
    </row>
    <row r="2" spans="1:3">
      <c r="A2" s="301">
        <v>1</v>
      </c>
      <c r="B2" s="33" t="s">
        <v>623</v>
      </c>
      <c r="C2" s="289" t="s">
        <v>624</v>
      </c>
    </row>
    <row r="3" spans="1:3">
      <c r="A3" s="302"/>
      <c r="B3" s="34" t="s">
        <v>625</v>
      </c>
      <c r="C3" s="290"/>
    </row>
    <row r="4" spans="1:3">
      <c r="A4" s="302"/>
      <c r="B4" s="34" t="s">
        <v>626</v>
      </c>
      <c r="C4" s="290"/>
    </row>
    <row r="5" spans="1:3">
      <c r="A5" s="302"/>
      <c r="B5" s="34" t="s">
        <v>627</v>
      </c>
      <c r="C5" s="290"/>
    </row>
    <row r="6" spans="1:3">
      <c r="A6" s="302"/>
      <c r="B6" s="34" t="s">
        <v>628</v>
      </c>
      <c r="C6" s="290"/>
    </row>
    <row r="7" spans="1:3">
      <c r="A7" s="302"/>
      <c r="B7" s="34" t="s">
        <v>629</v>
      </c>
      <c r="C7" s="290"/>
    </row>
    <row r="8" spans="1:3">
      <c r="A8" s="302"/>
      <c r="B8" s="34" t="s">
        <v>630</v>
      </c>
      <c r="C8" s="290"/>
    </row>
    <row r="9" spans="1:3">
      <c r="A9" s="303"/>
      <c r="B9" s="35" t="s">
        <v>631</v>
      </c>
      <c r="C9" s="291"/>
    </row>
    <row r="10" spans="1:3" ht="28.75" customHeight="1">
      <c r="A10" s="36">
        <v>2</v>
      </c>
      <c r="B10" s="37" t="s">
        <v>632</v>
      </c>
      <c r="C10" s="292" t="s">
        <v>633</v>
      </c>
    </row>
    <row r="11" spans="1:3" ht="28.75" customHeight="1">
      <c r="A11" s="38"/>
      <c r="B11" s="39" t="s">
        <v>634</v>
      </c>
      <c r="C11" s="293"/>
    </row>
    <row r="12" spans="1:3" ht="28.75" customHeight="1">
      <c r="A12" s="40"/>
      <c r="B12" s="41" t="s">
        <v>635</v>
      </c>
      <c r="C12" s="294"/>
    </row>
    <row r="13" spans="1:3">
      <c r="A13" s="301">
        <v>3</v>
      </c>
      <c r="B13" s="42"/>
      <c r="C13" s="292" t="s">
        <v>636</v>
      </c>
    </row>
    <row r="14" spans="1:3">
      <c r="A14" s="302"/>
      <c r="B14" s="39" t="s">
        <v>637</v>
      </c>
      <c r="C14" s="293"/>
    </row>
    <row r="15" spans="1:3">
      <c r="A15" s="302"/>
      <c r="B15" s="39" t="s">
        <v>638</v>
      </c>
      <c r="C15" s="293"/>
    </row>
    <row r="16" spans="1:3">
      <c r="A16" s="302"/>
      <c r="B16" s="39" t="s">
        <v>639</v>
      </c>
      <c r="C16" s="293"/>
    </row>
    <row r="17" spans="1:3">
      <c r="A17" s="303"/>
      <c r="B17" s="43"/>
      <c r="C17" s="294"/>
    </row>
    <row r="18" spans="1:3">
      <c r="A18" s="301">
        <v>4</v>
      </c>
      <c r="B18" s="42"/>
      <c r="C18" s="295" t="s">
        <v>640</v>
      </c>
    </row>
    <row r="19" spans="1:3">
      <c r="A19" s="302"/>
      <c r="B19" s="44" t="s">
        <v>641</v>
      </c>
      <c r="C19" s="296"/>
    </row>
    <row r="20" spans="1:3">
      <c r="A20" s="302"/>
      <c r="B20" s="45" t="s">
        <v>642</v>
      </c>
      <c r="C20" s="296"/>
    </row>
    <row r="21" spans="1:3">
      <c r="A21" s="302"/>
      <c r="B21" s="45" t="s">
        <v>643</v>
      </c>
      <c r="C21" s="296"/>
    </row>
    <row r="22" spans="1:3">
      <c r="A22" s="303"/>
      <c r="B22" s="43" t="s">
        <v>644</v>
      </c>
      <c r="C22" s="297"/>
    </row>
    <row r="23" spans="1:3">
      <c r="A23" s="301">
        <v>5</v>
      </c>
      <c r="B23" s="42"/>
      <c r="C23" s="295" t="s">
        <v>645</v>
      </c>
    </row>
    <row r="24" spans="1:3">
      <c r="A24" s="302"/>
      <c r="B24" s="45" t="s">
        <v>646</v>
      </c>
      <c r="C24" s="296"/>
    </row>
    <row r="25" spans="1:3">
      <c r="A25" s="302"/>
      <c r="B25" s="45" t="s">
        <v>647</v>
      </c>
      <c r="C25" s="296"/>
    </row>
    <row r="26" spans="1:3">
      <c r="A26" s="302"/>
      <c r="B26" s="45" t="s">
        <v>648</v>
      </c>
      <c r="C26" s="296"/>
    </row>
    <row r="27" spans="1:3">
      <c r="A27" s="303"/>
      <c r="B27" s="43" t="s">
        <v>649</v>
      </c>
      <c r="C27" s="297"/>
    </row>
    <row r="28" spans="1:3">
      <c r="A28" s="301">
        <v>6</v>
      </c>
      <c r="B28" s="42"/>
      <c r="C28" s="298" t="s">
        <v>650</v>
      </c>
    </row>
    <row r="29" spans="1:3">
      <c r="A29" s="302"/>
      <c r="B29" s="45" t="s">
        <v>651</v>
      </c>
      <c r="C29" s="299"/>
    </row>
    <row r="30" spans="1:3">
      <c r="A30" s="302"/>
      <c r="B30" s="45" t="s">
        <v>652</v>
      </c>
      <c r="C30" s="299"/>
    </row>
    <row r="31" spans="1:3">
      <c r="A31" s="302"/>
      <c r="B31" s="45" t="s">
        <v>653</v>
      </c>
      <c r="C31" s="299"/>
    </row>
    <row r="32" spans="1:3">
      <c r="A32" s="302"/>
      <c r="B32" s="45" t="s">
        <v>654</v>
      </c>
      <c r="C32" s="299"/>
    </row>
    <row r="33" spans="1:3">
      <c r="A33" s="302"/>
      <c r="B33" s="45" t="s">
        <v>655</v>
      </c>
      <c r="C33" s="299"/>
    </row>
    <row r="34" spans="1:3">
      <c r="A34" s="303"/>
      <c r="B34" s="43" t="s">
        <v>656</v>
      </c>
      <c r="C34" s="300"/>
    </row>
    <row r="35" spans="1:3">
      <c r="A35" s="287">
        <v>7</v>
      </c>
      <c r="B35" s="42"/>
      <c r="C35" s="298" t="s">
        <v>657</v>
      </c>
    </row>
    <row r="36" spans="1:3">
      <c r="A36" s="288"/>
      <c r="B36" s="45" t="s">
        <v>658</v>
      </c>
      <c r="C36" s="299"/>
    </row>
    <row r="37" spans="1:3">
      <c r="A37" s="288"/>
      <c r="B37" s="45" t="s">
        <v>659</v>
      </c>
      <c r="C37" s="299"/>
    </row>
    <row r="38" spans="1:3">
      <c r="A38" s="288"/>
      <c r="B38" s="45" t="s">
        <v>660</v>
      </c>
      <c r="C38" s="299"/>
    </row>
    <row r="39" spans="1:3">
      <c r="A39" s="288"/>
      <c r="B39" s="45" t="s">
        <v>661</v>
      </c>
      <c r="C39" s="299"/>
    </row>
    <row r="40" spans="1:3">
      <c r="A40" s="288"/>
      <c r="B40" s="45" t="s">
        <v>662</v>
      </c>
      <c r="C40" s="299"/>
    </row>
    <row r="41" spans="1:3">
      <c r="A41" s="288"/>
      <c r="B41" s="45" t="s">
        <v>663</v>
      </c>
      <c r="C41" s="299"/>
    </row>
    <row r="42" spans="1:3">
      <c r="A42" s="288"/>
      <c r="B42" s="45" t="s">
        <v>664</v>
      </c>
      <c r="C42" s="299"/>
    </row>
    <row r="43" spans="1:3">
      <c r="A43" s="288"/>
      <c r="B43" s="45" t="s">
        <v>665</v>
      </c>
      <c r="C43" s="299"/>
    </row>
    <row r="44" spans="1:3">
      <c r="A44" s="278"/>
      <c r="B44" s="43" t="s">
        <v>666</v>
      </c>
      <c r="C44" s="300"/>
    </row>
  </sheetData>
  <mergeCells count="13">
    <mergeCell ref="A35:A44"/>
    <mergeCell ref="C2:C9"/>
    <mergeCell ref="C10:C12"/>
    <mergeCell ref="C13:C17"/>
    <mergeCell ref="C18:C22"/>
    <mergeCell ref="C23:C27"/>
    <mergeCell ref="C28:C34"/>
    <mergeCell ref="C35:C44"/>
    <mergeCell ref="A2:A9"/>
    <mergeCell ref="A13:A17"/>
    <mergeCell ref="A18:A22"/>
    <mergeCell ref="A23:A27"/>
    <mergeCell ref="A28:A34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43"/>
  <sheetViews>
    <sheetView workbookViewId="0">
      <selection activeCell="A15" sqref="A15:XFD15"/>
    </sheetView>
  </sheetViews>
  <sheetFormatPr defaultColWidth="8.7265625" defaultRowHeight="14.5"/>
  <cols>
    <col min="1" max="1" width="8.90625" style="1" customWidth="1"/>
    <col min="2" max="2" width="13.7265625" style="1" customWidth="1"/>
    <col min="3" max="3" width="46" style="1" customWidth="1"/>
    <col min="4" max="4" width="11.453125" style="1" customWidth="1"/>
    <col min="5" max="5" width="27.26953125" style="3" customWidth="1"/>
    <col min="6" max="6" width="21.26953125" style="4" customWidth="1"/>
    <col min="7" max="7" width="25.90625" style="4" customWidth="1"/>
    <col min="8" max="8" width="18.36328125" style="5" customWidth="1"/>
    <col min="9" max="16384" width="8.7265625" style="4"/>
  </cols>
  <sheetData>
    <row r="1" spans="1:8" ht="21">
      <c r="A1" s="6" t="s">
        <v>667</v>
      </c>
      <c r="B1" s="7" t="s">
        <v>668</v>
      </c>
      <c r="C1" s="7" t="s">
        <v>669</v>
      </c>
      <c r="D1" s="7" t="s">
        <v>670</v>
      </c>
      <c r="E1" s="8" t="s">
        <v>4</v>
      </c>
      <c r="F1" s="9" t="s">
        <v>671</v>
      </c>
      <c r="G1" s="10" t="s">
        <v>672</v>
      </c>
      <c r="H1" s="11" t="s">
        <v>673</v>
      </c>
    </row>
    <row r="2" spans="1:8">
      <c r="A2" s="12">
        <v>1</v>
      </c>
      <c r="B2" s="13">
        <v>716663</v>
      </c>
      <c r="C2" s="13" t="s">
        <v>674</v>
      </c>
      <c r="D2" s="12">
        <v>750</v>
      </c>
      <c r="E2" s="14" t="s">
        <v>675</v>
      </c>
      <c r="F2" s="4" t="s">
        <v>676</v>
      </c>
      <c r="G2" s="15"/>
      <c r="H2" s="16">
        <v>1896</v>
      </c>
    </row>
    <row r="3" spans="1:8">
      <c r="A3" s="12">
        <v>2</v>
      </c>
      <c r="B3" s="13">
        <v>663092</v>
      </c>
      <c r="C3" s="13" t="s">
        <v>677</v>
      </c>
      <c r="D3" s="12">
        <v>1450</v>
      </c>
      <c r="E3" s="14" t="s">
        <v>675</v>
      </c>
      <c r="F3" s="17">
        <v>8898278098</v>
      </c>
      <c r="G3" s="15"/>
      <c r="H3" s="18">
        <v>5130</v>
      </c>
    </row>
    <row r="4" spans="1:8">
      <c r="A4" s="12">
        <v>3</v>
      </c>
      <c r="B4" s="13">
        <v>663093</v>
      </c>
      <c r="C4" s="13" t="s">
        <v>82</v>
      </c>
      <c r="D4" s="12">
        <v>2800</v>
      </c>
      <c r="E4" s="14" t="s">
        <v>675</v>
      </c>
      <c r="F4" s="17"/>
      <c r="G4" s="15"/>
      <c r="H4" s="16">
        <v>6615</v>
      </c>
    </row>
    <row r="5" spans="1:8">
      <c r="A5" s="12">
        <v>4</v>
      </c>
      <c r="B5" s="13">
        <v>646872</v>
      </c>
      <c r="C5" s="13" t="s">
        <v>678</v>
      </c>
      <c r="D5" s="12">
        <v>1225</v>
      </c>
      <c r="E5" s="14" t="s">
        <v>675</v>
      </c>
      <c r="F5" s="17" t="s">
        <v>679</v>
      </c>
      <c r="G5" s="15"/>
      <c r="H5" s="16">
        <v>3555</v>
      </c>
    </row>
    <row r="6" spans="1:8">
      <c r="A6" s="12">
        <v>5</v>
      </c>
      <c r="B6" s="13">
        <v>663091</v>
      </c>
      <c r="C6" s="13" t="s">
        <v>680</v>
      </c>
      <c r="D6" s="12">
        <v>1050</v>
      </c>
      <c r="E6" s="14" t="s">
        <v>675</v>
      </c>
      <c r="F6" s="17">
        <v>9867838855</v>
      </c>
      <c r="G6" s="15"/>
      <c r="H6" s="19">
        <v>3510</v>
      </c>
    </row>
    <row r="7" spans="1:8">
      <c r="A7" s="12">
        <v>6</v>
      </c>
      <c r="B7" s="13">
        <v>663094</v>
      </c>
      <c r="C7" s="13" t="s">
        <v>44</v>
      </c>
      <c r="D7" s="12" t="s">
        <v>681</v>
      </c>
      <c r="E7" s="14" t="s">
        <v>675</v>
      </c>
      <c r="F7" s="17"/>
      <c r="G7" s="15"/>
      <c r="H7" s="16">
        <v>10602</v>
      </c>
    </row>
    <row r="8" spans="1:8">
      <c r="A8" s="12">
        <v>7</v>
      </c>
      <c r="B8" s="13">
        <v>615698</v>
      </c>
      <c r="C8" s="13" t="s">
        <v>682</v>
      </c>
      <c r="D8" s="12">
        <v>1880</v>
      </c>
      <c r="E8" s="14" t="s">
        <v>675</v>
      </c>
      <c r="F8" s="17"/>
      <c r="G8" s="15"/>
      <c r="H8" s="19">
        <v>3510</v>
      </c>
    </row>
    <row r="9" spans="1:8">
      <c r="A9" s="12">
        <v>8</v>
      </c>
      <c r="B9" s="13">
        <v>616026</v>
      </c>
      <c r="C9" s="13" t="s">
        <v>683</v>
      </c>
      <c r="D9" s="12">
        <v>2245</v>
      </c>
      <c r="E9" s="14" t="s">
        <v>675</v>
      </c>
      <c r="F9" s="17"/>
      <c r="G9" s="15"/>
      <c r="H9" s="19">
        <v>5614</v>
      </c>
    </row>
    <row r="10" spans="1:8">
      <c r="A10" s="12">
        <v>9</v>
      </c>
      <c r="B10" s="20">
        <v>630059</v>
      </c>
      <c r="C10" s="13" t="s">
        <v>684</v>
      </c>
      <c r="D10" s="12">
        <v>1725</v>
      </c>
      <c r="E10" s="14" t="s">
        <v>675</v>
      </c>
      <c r="F10" s="17"/>
      <c r="G10" s="15"/>
      <c r="H10" s="16">
        <v>4048</v>
      </c>
    </row>
    <row r="11" spans="1:8">
      <c r="A11" s="12">
        <v>10</v>
      </c>
      <c r="B11" s="20">
        <v>719031</v>
      </c>
      <c r="C11" s="13" t="s">
        <v>685</v>
      </c>
      <c r="D11" s="12"/>
      <c r="E11" s="14" t="s">
        <v>675</v>
      </c>
      <c r="F11" s="17"/>
      <c r="G11" s="15"/>
      <c r="H11" s="21">
        <v>45000</v>
      </c>
    </row>
    <row r="12" spans="1:8">
      <c r="A12" s="12">
        <v>11</v>
      </c>
      <c r="B12" s="20">
        <v>616039</v>
      </c>
      <c r="C12" s="13" t="s">
        <v>686</v>
      </c>
      <c r="D12" s="12">
        <v>3100</v>
      </c>
      <c r="E12" s="14" t="s">
        <v>675</v>
      </c>
      <c r="F12" s="17"/>
      <c r="G12" s="15"/>
      <c r="H12" s="22">
        <v>6521</v>
      </c>
    </row>
    <row r="13" spans="1:8">
      <c r="A13" s="12">
        <v>12</v>
      </c>
      <c r="B13" s="13">
        <v>632215</v>
      </c>
      <c r="C13" s="13" t="s">
        <v>687</v>
      </c>
      <c r="D13" s="12">
        <v>2270</v>
      </c>
      <c r="E13" s="14" t="s">
        <v>675</v>
      </c>
      <c r="F13" s="17"/>
      <c r="G13" s="15"/>
      <c r="H13" s="16">
        <v>5738</v>
      </c>
    </row>
    <row r="14" spans="1:8" s="1" customFormat="1">
      <c r="A14" s="23">
        <v>13</v>
      </c>
      <c r="B14" s="13">
        <v>713141</v>
      </c>
      <c r="C14" s="13" t="s">
        <v>688</v>
      </c>
      <c r="D14" s="12">
        <v>6000</v>
      </c>
      <c r="E14" s="12" t="s">
        <v>675</v>
      </c>
      <c r="F14" s="16">
        <v>12900</v>
      </c>
      <c r="G14" s="12"/>
      <c r="H14" s="24"/>
    </row>
    <row r="15" spans="1:8" s="1" customFormat="1">
      <c r="A15" s="25">
        <v>14</v>
      </c>
      <c r="B15" s="26">
        <v>780236</v>
      </c>
      <c r="C15" s="26" t="s">
        <v>689</v>
      </c>
      <c r="D15" s="12">
        <v>1700</v>
      </c>
      <c r="E15" s="12" t="s">
        <v>675</v>
      </c>
      <c r="F15" s="16">
        <v>4160</v>
      </c>
      <c r="G15" s="12"/>
      <c r="H15" s="24"/>
    </row>
    <row r="16" spans="1:8">
      <c r="A16" s="23">
        <v>15</v>
      </c>
      <c r="B16" s="13">
        <v>725828</v>
      </c>
      <c r="C16" s="13" t="s">
        <v>690</v>
      </c>
      <c r="D16" s="12"/>
      <c r="E16" s="14"/>
      <c r="F16" s="17"/>
      <c r="G16" s="15"/>
      <c r="H16" s="16"/>
    </row>
    <row r="17" spans="1:8">
      <c r="A17" s="25">
        <v>16</v>
      </c>
      <c r="B17" s="13">
        <v>716334</v>
      </c>
      <c r="C17" s="13" t="s">
        <v>691</v>
      </c>
      <c r="D17" s="12">
        <v>2950</v>
      </c>
      <c r="E17" s="14" t="s">
        <v>692</v>
      </c>
      <c r="F17" s="17">
        <v>8469008882</v>
      </c>
      <c r="G17" s="15"/>
      <c r="H17" s="19">
        <v>4995</v>
      </c>
    </row>
    <row r="18" spans="1:8">
      <c r="A18" s="23">
        <v>17</v>
      </c>
      <c r="B18" s="13">
        <v>695947</v>
      </c>
      <c r="C18" s="13" t="s">
        <v>34</v>
      </c>
      <c r="D18" s="12">
        <v>445</v>
      </c>
      <c r="E18" s="14" t="s">
        <v>692</v>
      </c>
      <c r="F18" s="17"/>
      <c r="G18" s="15"/>
      <c r="H18" s="19">
        <v>565</v>
      </c>
    </row>
    <row r="19" spans="1:8">
      <c r="A19" s="25">
        <v>18</v>
      </c>
      <c r="B19" s="13">
        <v>687254</v>
      </c>
      <c r="C19" s="13" t="s">
        <v>693</v>
      </c>
      <c r="D19" s="12">
        <v>1250</v>
      </c>
      <c r="E19" s="14" t="s">
        <v>692</v>
      </c>
      <c r="F19" s="17"/>
      <c r="G19" s="15"/>
      <c r="H19" s="19">
        <v>1908</v>
      </c>
    </row>
    <row r="20" spans="1:8">
      <c r="A20" s="23">
        <v>19</v>
      </c>
      <c r="B20" s="20">
        <v>635655</v>
      </c>
      <c r="C20" s="13" t="s">
        <v>694</v>
      </c>
      <c r="D20" s="12">
        <v>1170</v>
      </c>
      <c r="E20" s="14" t="s">
        <v>110</v>
      </c>
      <c r="F20" s="17"/>
      <c r="G20" s="15"/>
      <c r="H20" s="19">
        <v>4726</v>
      </c>
    </row>
    <row r="21" spans="1:8">
      <c r="A21" s="25">
        <v>20</v>
      </c>
      <c r="B21" s="13">
        <v>635656</v>
      </c>
      <c r="C21" s="13" t="s">
        <v>695</v>
      </c>
      <c r="D21" s="12">
        <v>340</v>
      </c>
      <c r="E21" s="14" t="s">
        <v>110</v>
      </c>
      <c r="F21" s="17"/>
      <c r="G21" s="15"/>
      <c r="H21" s="19">
        <v>2818</v>
      </c>
    </row>
    <row r="22" spans="1:8">
      <c r="A22" s="23">
        <v>21</v>
      </c>
      <c r="B22" s="20">
        <v>615181</v>
      </c>
      <c r="C22" s="13" t="s">
        <v>99</v>
      </c>
      <c r="D22" s="12">
        <v>702</v>
      </c>
      <c r="E22" s="14" t="s">
        <v>125</v>
      </c>
      <c r="F22" s="17"/>
      <c r="G22" s="15"/>
      <c r="H22" s="16"/>
    </row>
    <row r="23" spans="1:8">
      <c r="A23" s="25">
        <v>22</v>
      </c>
      <c r="B23" s="20">
        <v>668330</v>
      </c>
      <c r="C23" s="13" t="s">
        <v>696</v>
      </c>
      <c r="D23" s="12">
        <v>2450</v>
      </c>
      <c r="E23" s="14" t="s">
        <v>175</v>
      </c>
      <c r="F23" s="17"/>
      <c r="G23" s="15"/>
      <c r="H23" s="16">
        <v>5738</v>
      </c>
    </row>
    <row r="24" spans="1:8">
      <c r="A24" s="23">
        <v>23</v>
      </c>
      <c r="B24" s="20">
        <v>772264</v>
      </c>
      <c r="C24" s="13" t="s">
        <v>93</v>
      </c>
      <c r="D24" s="12"/>
      <c r="E24" s="14" t="s">
        <v>697</v>
      </c>
      <c r="F24" s="17"/>
      <c r="G24" s="15"/>
      <c r="H24" s="16"/>
    </row>
    <row r="25" spans="1:8">
      <c r="A25" s="25">
        <v>24</v>
      </c>
      <c r="B25" s="20">
        <v>681149</v>
      </c>
      <c r="C25" s="13" t="s">
        <v>698</v>
      </c>
      <c r="D25" s="12"/>
      <c r="E25" s="14" t="s">
        <v>699</v>
      </c>
      <c r="F25" s="17"/>
      <c r="G25" s="15"/>
      <c r="H25" s="16"/>
    </row>
    <row r="26" spans="1:8">
      <c r="A26" s="23">
        <v>25</v>
      </c>
      <c r="B26" s="20">
        <v>615840</v>
      </c>
      <c r="C26" s="13" t="s">
        <v>700</v>
      </c>
      <c r="D26" s="27"/>
      <c r="E26" s="14" t="s">
        <v>701</v>
      </c>
      <c r="F26" s="17"/>
      <c r="G26" s="15"/>
      <c r="H26" s="16"/>
    </row>
    <row r="27" spans="1:8" s="2" customFormat="1">
      <c r="A27" s="25">
        <v>26</v>
      </c>
      <c r="B27" s="20">
        <v>777097</v>
      </c>
      <c r="C27" s="13" t="s">
        <v>702</v>
      </c>
      <c r="D27" s="12"/>
      <c r="E27" s="12" t="s">
        <v>703</v>
      </c>
      <c r="F27" s="28">
        <v>9810099146</v>
      </c>
      <c r="G27" s="29" t="s">
        <v>704</v>
      </c>
      <c r="H27" s="16">
        <v>5738</v>
      </c>
    </row>
    <row r="28" spans="1:8">
      <c r="A28" s="23">
        <v>27</v>
      </c>
      <c r="B28" s="20">
        <v>724214</v>
      </c>
      <c r="C28" s="13" t="s">
        <v>182</v>
      </c>
      <c r="D28" s="12"/>
      <c r="E28" s="14" t="s">
        <v>705</v>
      </c>
      <c r="F28" s="17"/>
      <c r="G28" s="15"/>
      <c r="H28" s="16">
        <v>2490</v>
      </c>
    </row>
    <row r="29" spans="1:8">
      <c r="A29" s="25">
        <v>28</v>
      </c>
      <c r="B29" s="20">
        <v>719381</v>
      </c>
      <c r="C29" s="13" t="s">
        <v>706</v>
      </c>
      <c r="D29" s="12">
        <v>9067.7999999999993</v>
      </c>
      <c r="E29" s="14" t="s">
        <v>707</v>
      </c>
      <c r="F29" s="17"/>
      <c r="G29" s="15"/>
      <c r="H29" s="16">
        <v>9999</v>
      </c>
    </row>
    <row r="30" spans="1:8">
      <c r="A30" s="23">
        <v>29</v>
      </c>
      <c r="B30" s="20">
        <v>649868</v>
      </c>
      <c r="C30" s="13" t="s">
        <v>708</v>
      </c>
      <c r="D30" s="12"/>
      <c r="E30" s="14" t="s">
        <v>709</v>
      </c>
      <c r="F30" s="17"/>
      <c r="G30" s="15"/>
      <c r="H30" s="16"/>
    </row>
    <row r="31" spans="1:8">
      <c r="A31" s="25">
        <v>30</v>
      </c>
      <c r="B31" s="13">
        <v>615000</v>
      </c>
      <c r="C31" s="13" t="s">
        <v>43</v>
      </c>
      <c r="D31" s="12"/>
      <c r="E31" s="14"/>
      <c r="F31" s="17"/>
      <c r="G31" s="15"/>
      <c r="H31" s="16"/>
    </row>
    <row r="32" spans="1:8">
      <c r="A32" s="23">
        <v>31</v>
      </c>
      <c r="B32" s="20">
        <v>662351</v>
      </c>
      <c r="C32" s="13" t="s">
        <v>74</v>
      </c>
      <c r="D32" s="12"/>
      <c r="E32" s="14"/>
      <c r="F32" s="17"/>
      <c r="G32" s="15"/>
      <c r="H32" s="16"/>
    </row>
    <row r="33" spans="1:8" ht="29">
      <c r="A33" s="25">
        <v>32</v>
      </c>
      <c r="B33" s="12"/>
      <c r="C33" s="12" t="s">
        <v>710</v>
      </c>
      <c r="D33" s="12">
        <v>1695</v>
      </c>
      <c r="E33" s="14" t="s">
        <v>711</v>
      </c>
      <c r="F33" s="17">
        <v>9921223437</v>
      </c>
      <c r="G33" s="17"/>
      <c r="H33" s="16"/>
    </row>
    <row r="34" spans="1:8" ht="29">
      <c r="A34" s="23">
        <v>33</v>
      </c>
      <c r="B34" s="12"/>
      <c r="C34" s="12" t="s">
        <v>712</v>
      </c>
      <c r="D34" s="12">
        <v>1695</v>
      </c>
      <c r="E34" s="14" t="s">
        <v>711</v>
      </c>
      <c r="F34" s="17"/>
      <c r="G34" s="17"/>
      <c r="H34" s="16"/>
    </row>
    <row r="35" spans="1:8" ht="29">
      <c r="A35" s="25">
        <v>34</v>
      </c>
      <c r="B35" s="12"/>
      <c r="C35" s="12" t="s">
        <v>713</v>
      </c>
      <c r="D35" s="12">
        <v>2225</v>
      </c>
      <c r="E35" s="14" t="s">
        <v>62</v>
      </c>
      <c r="F35" s="17">
        <v>9825061951</v>
      </c>
      <c r="G35" s="17"/>
      <c r="H35" s="16"/>
    </row>
    <row r="36" spans="1:8" ht="43.5">
      <c r="A36" s="23">
        <v>35</v>
      </c>
      <c r="B36" s="12"/>
      <c r="C36" s="12" t="s">
        <v>714</v>
      </c>
      <c r="D36" s="12">
        <v>330</v>
      </c>
      <c r="E36" s="14" t="s">
        <v>715</v>
      </c>
      <c r="F36" s="17">
        <v>9820503072</v>
      </c>
      <c r="G36" s="17">
        <v>9833631987</v>
      </c>
      <c r="H36" s="16"/>
    </row>
    <row r="37" spans="1:8" ht="43.5">
      <c r="A37" s="25">
        <v>36</v>
      </c>
      <c r="B37" s="12"/>
      <c r="C37" s="12" t="s">
        <v>716</v>
      </c>
      <c r="D37" s="12">
        <v>780</v>
      </c>
      <c r="E37" s="14" t="s">
        <v>697</v>
      </c>
      <c r="F37" s="17"/>
      <c r="G37" s="17"/>
      <c r="H37" s="16"/>
    </row>
    <row r="38" spans="1:8">
      <c r="A38" s="23">
        <v>37</v>
      </c>
      <c r="B38" s="12"/>
      <c r="C38" s="30" t="s">
        <v>327</v>
      </c>
      <c r="D38" s="12">
        <v>210</v>
      </c>
      <c r="E38" s="14" t="s">
        <v>717</v>
      </c>
      <c r="F38" s="17"/>
      <c r="G38" s="17"/>
      <c r="H38" s="16"/>
    </row>
    <row r="39" spans="1:8">
      <c r="A39" s="25">
        <v>38</v>
      </c>
      <c r="B39" s="12"/>
      <c r="C39" s="30" t="s">
        <v>718</v>
      </c>
      <c r="D39" s="12">
        <v>2627</v>
      </c>
      <c r="E39" s="14" t="s">
        <v>719</v>
      </c>
      <c r="F39" s="17"/>
      <c r="G39" s="17"/>
      <c r="H39" s="16"/>
    </row>
    <row r="40" spans="1:8">
      <c r="A40" s="23">
        <v>39</v>
      </c>
      <c r="B40" s="12"/>
      <c r="C40" s="30" t="s">
        <v>720</v>
      </c>
      <c r="D40" s="30">
        <v>30182</v>
      </c>
      <c r="E40" s="14" t="s">
        <v>699</v>
      </c>
      <c r="F40" s="17"/>
      <c r="G40" s="17"/>
      <c r="H40" s="16"/>
    </row>
    <row r="41" spans="1:8">
      <c r="A41" s="25">
        <v>40</v>
      </c>
      <c r="B41" s="12"/>
      <c r="C41" s="30" t="s">
        <v>721</v>
      </c>
      <c r="D41" s="30">
        <v>5800</v>
      </c>
      <c r="E41" s="14" t="s">
        <v>699</v>
      </c>
      <c r="F41" s="17"/>
      <c r="G41" s="17"/>
      <c r="H41" s="16"/>
    </row>
    <row r="42" spans="1:8">
      <c r="A42" s="23">
        <v>41</v>
      </c>
      <c r="B42" s="12"/>
      <c r="C42" s="12" t="s">
        <v>722</v>
      </c>
      <c r="D42" s="12"/>
      <c r="E42" s="14" t="s">
        <v>723</v>
      </c>
      <c r="F42" s="17"/>
      <c r="G42" s="17"/>
      <c r="H42" s="16"/>
    </row>
    <row r="43" spans="1:8">
      <c r="A43" s="25">
        <v>42</v>
      </c>
      <c r="B43" s="12"/>
      <c r="C43" s="31" t="s">
        <v>724</v>
      </c>
      <c r="D43" s="12">
        <v>241.53</v>
      </c>
      <c r="E43" s="14" t="s">
        <v>725</v>
      </c>
      <c r="F43" s="17"/>
      <c r="G43" s="17"/>
      <c r="H43" s="16"/>
    </row>
  </sheetData>
  <autoFilter ref="A1:H43" xr:uid="{00000000-0009-0000-0000-000009000000}"/>
  <hyperlinks>
    <hyperlink ref="G27" r:id="rId1" xr:uid="{00000000-0004-0000-0900-000000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STOCK DETAILS </vt:lpstr>
      <vt:lpstr>Petrol Expense Vivek</vt:lpstr>
      <vt:lpstr>PUTZ</vt:lpstr>
      <vt:lpstr>PURCHASE ( SUNDRY CREDITOR )</vt:lpstr>
      <vt:lpstr>Delivery Charges</vt:lpstr>
      <vt:lpstr>SALES ( SUNDRY DEBTORS )</vt:lpstr>
      <vt:lpstr>Petty Cash</vt:lpstr>
      <vt:lpstr>CD-3167002097 CHEQUE DETAILS</vt:lpstr>
      <vt:lpstr>Material Location</vt:lpstr>
      <vt:lpstr>File location</vt:lpstr>
      <vt:lpstr> Materials Vendor Details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ACCOUNTS</cp:lastModifiedBy>
  <dcterms:created xsi:type="dcterms:W3CDTF">2006-09-16T00:00:00Z</dcterms:created>
  <dcterms:modified xsi:type="dcterms:W3CDTF">2025-08-13T08:46:06Z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32BFA797A5154BD5915448275BF9B08A_12</vt:lpwstr>
  </property>
  <property fmtid="{D5CDD505-2E9C-101B-9397-08002B2CF9AE}" pid="3" name="KSOProductBuildVer">
    <vt:lpwstr>1033-12.2.0.21931</vt:lpwstr>
  </property>
</Properties>
</file>