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"/>
    </mc:Choice>
  </mc:AlternateContent>
  <xr:revisionPtr revIDLastSave="0" documentId="13_ncr:1_{7CD747B3-48D3-43D0-931A-B5A2EF45A924}" xr6:coauthVersionLast="47" xr6:coauthVersionMax="47" xr10:uidLastSave="{00000000-0000-0000-0000-000000000000}"/>
  <bookViews>
    <workbookView xWindow="-110" yWindow="-110" windowWidth="19420" windowHeight="10420" activeTab="1" xr2:uid="{E6709331-2FAC-48A9-913D-D9CC862D6583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2" i="3"/>
  <c r="I3" i="3"/>
  <c r="I4" i="3"/>
  <c r="I5" i="3"/>
  <c r="I6" i="3"/>
  <c r="J6" i="3" s="1"/>
  <c r="I7" i="3"/>
  <c r="I8" i="3"/>
  <c r="I9" i="3"/>
  <c r="I10" i="3"/>
  <c r="I11" i="3"/>
  <c r="I12" i="3"/>
  <c r="J12" i="3" s="1"/>
  <c r="I13" i="3"/>
  <c r="I14" i="3"/>
  <c r="J14" i="3" s="1"/>
  <c r="I2" i="3"/>
  <c r="J2" i="3" s="1"/>
  <c r="J3" i="3"/>
  <c r="J4" i="3"/>
  <c r="J5" i="3"/>
  <c r="J7" i="3"/>
  <c r="J8" i="3"/>
  <c r="J9" i="3"/>
  <c r="J10" i="3"/>
  <c r="J11" i="3"/>
  <c r="J13" i="3"/>
  <c r="H3" i="3"/>
  <c r="H4" i="3"/>
  <c r="H5" i="3"/>
  <c r="H6" i="3"/>
  <c r="H7" i="3"/>
  <c r="H8" i="3"/>
  <c r="H9" i="3"/>
  <c r="H10" i="3"/>
  <c r="H11" i="3"/>
  <c r="H12" i="3"/>
  <c r="H13" i="3"/>
  <c r="H14" i="3"/>
  <c r="H2" i="3"/>
</calcChain>
</file>

<file path=xl/sharedStrings.xml><?xml version="1.0" encoding="utf-8"?>
<sst xmlns="http://schemas.openxmlformats.org/spreadsheetml/2006/main" count="38" uniqueCount="24">
  <si>
    <t xml:space="preserve">Sr.no </t>
  </si>
  <si>
    <t>Part no.</t>
  </si>
  <si>
    <t>Description</t>
  </si>
  <si>
    <t>BELLOW F. water hopper MT1.0 IBC</t>
  </si>
  <si>
    <t>Cement Bellow_Dia330x200lg_MT3.0</t>
  </si>
  <si>
    <t>Screw conv. Bellow_Dia278x500lg_MT3.0</t>
  </si>
  <si>
    <t>Water Bellow_BP60_Dia 170x4x300mm</t>
  </si>
  <si>
    <t>Water Bellow_Dia173x200 lg_MT3.0</t>
  </si>
  <si>
    <t>Discharge hopper bellow_Dia605x600_MT3.0</t>
  </si>
  <si>
    <t>Screw Conveyor Bellow_Dia174x4x500mm</t>
  </si>
  <si>
    <t>Screw Conveyor Bellow_Dia224x4x500mm</t>
  </si>
  <si>
    <t>Cement Hop. Bellow_Silic_dia 205x4x400mm</t>
  </si>
  <si>
    <t>Discharge Chute Bellow_Dia 500x4x240mm</t>
  </si>
  <si>
    <t>Bellow_Butterfly-Valve_31 0x4x400mm</t>
  </si>
  <si>
    <t>Discharge chute bellow Ø500x4x500</t>
  </si>
  <si>
    <t>Bellow Butterfly-Valve 310x4x290mm</t>
  </si>
  <si>
    <t>Price</t>
  </si>
  <si>
    <t>Rupali</t>
  </si>
  <si>
    <t>5400/</t>
  </si>
  <si>
    <t>Namrata</t>
  </si>
  <si>
    <t>Rupali-Namrata</t>
  </si>
  <si>
    <t>Bellow_Butterfly-Valve_310x4x400mm</t>
  </si>
  <si>
    <t>(Rupali-(-10%))</t>
  </si>
  <si>
    <t>BELLOW F. water hopper MT1.0 IBC               (dia 170 x L160 x thk 3mm)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</si>
</sst>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Helvetica-Bold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9" fontId="1" fillId="2" borderId="12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4" xfId="0" applyFill="1" applyBorder="1" applyAlignment="1">
      <alignment vertical="center"/>
    </xf>
    <xf numFmtId="0" fontId="0" fillId="4" borderId="6" xfId="0" applyFill="1" applyBorder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ACAC-ABE8-401E-B80B-4D87F5529BD0}">
  <dimension ref="A1:E14"/>
  <sheetViews>
    <sheetView workbookViewId="0">
      <selection activeCell="E8" sqref="E8:E9"/>
    </sheetView>
  </sheetViews>
  <sheetFormatPr defaultRowHeight="14.5"/>
  <cols>
    <col min="2" max="2" width="10.54296875" bestFit="1" customWidth="1"/>
    <col min="3" max="3" width="38.7265625" customWidth="1"/>
    <col min="4" max="4" width="14.90625" customWidth="1"/>
  </cols>
  <sheetData>
    <row r="1" spans="1:5" ht="21.5" thickBot="1">
      <c r="A1" s="1" t="s">
        <v>0</v>
      </c>
      <c r="B1" s="2" t="s">
        <v>1</v>
      </c>
      <c r="C1" s="2" t="s">
        <v>2</v>
      </c>
      <c r="D1" s="8" t="s">
        <v>16</v>
      </c>
    </row>
    <row r="2" spans="1:5">
      <c r="A2" s="3">
        <v>1</v>
      </c>
      <c r="B2" s="4">
        <v>716663</v>
      </c>
      <c r="C2" s="4" t="s">
        <v>3</v>
      </c>
      <c r="D2" s="9">
        <v>675</v>
      </c>
    </row>
    <row r="3" spans="1:5">
      <c r="A3" s="5">
        <v>2</v>
      </c>
      <c r="B3" s="6">
        <v>663092</v>
      </c>
      <c r="C3" s="6" t="s">
        <v>4</v>
      </c>
      <c r="D3" s="10">
        <v>1305</v>
      </c>
    </row>
    <row r="4" spans="1:5">
      <c r="A4" s="5">
        <v>3</v>
      </c>
      <c r="B4" s="6">
        <v>663093</v>
      </c>
      <c r="C4" s="6" t="s">
        <v>5</v>
      </c>
      <c r="D4" s="10">
        <v>2520</v>
      </c>
    </row>
    <row r="5" spans="1:5">
      <c r="A5" s="5">
        <v>4</v>
      </c>
      <c r="B5" s="6">
        <v>646872</v>
      </c>
      <c r="C5" s="6" t="s">
        <v>6</v>
      </c>
      <c r="D5" s="10">
        <v>1102</v>
      </c>
    </row>
    <row r="6" spans="1:5">
      <c r="A6" s="5">
        <v>5</v>
      </c>
      <c r="B6" s="6">
        <v>663091</v>
      </c>
      <c r="C6" s="6" t="s">
        <v>7</v>
      </c>
      <c r="D6" s="10">
        <v>945</v>
      </c>
    </row>
    <row r="7" spans="1:5">
      <c r="A7" s="5">
        <v>6</v>
      </c>
      <c r="B7" s="6">
        <v>663094</v>
      </c>
      <c r="C7" s="6" t="s">
        <v>8</v>
      </c>
      <c r="D7" s="10">
        <v>4500</v>
      </c>
    </row>
    <row r="8" spans="1:5">
      <c r="A8" s="5">
        <v>7</v>
      </c>
      <c r="B8" s="6">
        <v>615698</v>
      </c>
      <c r="C8" s="6" t="s">
        <v>9</v>
      </c>
      <c r="D8" s="10">
        <v>1692</v>
      </c>
      <c r="E8">
        <v>1850</v>
      </c>
    </row>
    <row r="9" spans="1:5">
      <c r="A9" s="5">
        <v>8</v>
      </c>
      <c r="B9" s="6">
        <v>616026</v>
      </c>
      <c r="C9" s="6" t="s">
        <v>10</v>
      </c>
      <c r="D9" s="10">
        <v>2021</v>
      </c>
      <c r="E9">
        <v>2350</v>
      </c>
    </row>
    <row r="10" spans="1:5">
      <c r="A10" s="5">
        <v>9</v>
      </c>
      <c r="B10" s="7">
        <v>630059</v>
      </c>
      <c r="C10" s="6" t="s">
        <v>11</v>
      </c>
      <c r="D10" s="10">
        <v>1553</v>
      </c>
    </row>
    <row r="11" spans="1:5">
      <c r="A11" s="5">
        <v>10</v>
      </c>
      <c r="B11" s="7">
        <v>616039</v>
      </c>
      <c r="C11" s="6" t="s">
        <v>12</v>
      </c>
      <c r="D11" s="10">
        <v>2790</v>
      </c>
    </row>
    <row r="12" spans="1:5">
      <c r="A12" s="5">
        <v>11</v>
      </c>
      <c r="B12" s="6">
        <v>632215</v>
      </c>
      <c r="C12" s="6" t="s">
        <v>13</v>
      </c>
      <c r="D12" s="10">
        <v>2043</v>
      </c>
    </row>
    <row r="13" spans="1:5">
      <c r="A13" s="5">
        <v>12</v>
      </c>
      <c r="B13" s="6">
        <v>713141</v>
      </c>
      <c r="C13" s="6" t="s">
        <v>14</v>
      </c>
      <c r="D13" s="10">
        <v>4500</v>
      </c>
    </row>
    <row r="14" spans="1:5" ht="15" thickBot="1">
      <c r="A14" s="5">
        <v>13</v>
      </c>
      <c r="B14" s="11">
        <v>780236</v>
      </c>
      <c r="C14" s="11" t="s">
        <v>15</v>
      </c>
      <c r="D14" s="12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3E68-EB73-4C06-AAA0-B6C24C59737E}">
  <dimension ref="A1:K14"/>
  <sheetViews>
    <sheetView tabSelected="1" workbookViewId="0">
      <selection activeCell="M2" sqref="M2"/>
    </sheetView>
  </sheetViews>
  <sheetFormatPr defaultRowHeight="14.5"/>
  <cols>
    <col min="1" max="1" width="7.90625" bestFit="1" customWidth="1"/>
    <col min="2" max="2" width="10.54296875" bestFit="1" customWidth="1"/>
    <col min="3" max="3" width="37.6328125" customWidth="1"/>
    <col min="4" max="4" width="11.6328125" bestFit="1" customWidth="1"/>
    <col min="6" max="6" width="8.6328125" bestFit="1" customWidth="1"/>
    <col min="7" max="7" width="19.26953125" style="20" bestFit="1" customWidth="1"/>
    <col min="8" max="8" width="21.26953125" style="20" customWidth="1"/>
  </cols>
  <sheetData>
    <row r="1" spans="1:11" ht="21.5" thickBot="1">
      <c r="A1" s="17" t="s">
        <v>0</v>
      </c>
      <c r="B1" s="15" t="s">
        <v>1</v>
      </c>
      <c r="C1" s="15" t="s">
        <v>2</v>
      </c>
      <c r="D1" s="15" t="s">
        <v>19</v>
      </c>
      <c r="E1" s="16">
        <v>-0.1</v>
      </c>
      <c r="F1" s="21" t="s">
        <v>17</v>
      </c>
      <c r="G1" s="16" t="s">
        <v>22</v>
      </c>
      <c r="H1" s="22" t="s">
        <v>20</v>
      </c>
    </row>
    <row r="2" spans="1:11" s="23" customFormat="1" ht="25">
      <c r="A2" s="3">
        <v>1</v>
      </c>
      <c r="B2" s="4">
        <v>716663</v>
      </c>
      <c r="C2" s="13" t="s">
        <v>23</v>
      </c>
      <c r="D2" s="18">
        <v>750</v>
      </c>
      <c r="E2" s="18">
        <v>675</v>
      </c>
      <c r="F2" s="30">
        <v>975</v>
      </c>
      <c r="G2" s="24">
        <f>F2-E2</f>
        <v>300</v>
      </c>
      <c r="H2" s="25">
        <f>F2-D2</f>
        <v>225</v>
      </c>
      <c r="I2" s="23">
        <f>E2*44%</f>
        <v>297</v>
      </c>
      <c r="J2" s="23">
        <f>E2+I2</f>
        <v>972</v>
      </c>
    </row>
    <row r="3" spans="1:11">
      <c r="A3" s="5">
        <v>2</v>
      </c>
      <c r="B3" s="6">
        <v>663092</v>
      </c>
      <c r="C3" s="6" t="s">
        <v>4</v>
      </c>
      <c r="D3" s="14">
        <v>1450</v>
      </c>
      <c r="E3" s="14">
        <v>1305</v>
      </c>
      <c r="F3" s="31">
        <v>1550</v>
      </c>
      <c r="G3" s="26">
        <f t="shared" ref="G3:G14" si="0">F3-E3</f>
        <v>245</v>
      </c>
      <c r="H3" s="27">
        <f t="shared" ref="H3:H14" si="1">F3-D3</f>
        <v>100</v>
      </c>
      <c r="I3">
        <f t="shared" ref="I3:I14" si="2">E3*44%</f>
        <v>574.20000000000005</v>
      </c>
      <c r="J3">
        <f t="shared" ref="J3:J14" si="3">E3+I3</f>
        <v>1879.2</v>
      </c>
    </row>
    <row r="4" spans="1:11">
      <c r="A4" s="5">
        <v>3</v>
      </c>
      <c r="B4" s="6">
        <v>663093</v>
      </c>
      <c r="C4" s="6" t="s">
        <v>5</v>
      </c>
      <c r="D4" s="14">
        <v>2800</v>
      </c>
      <c r="E4" s="14">
        <v>2520</v>
      </c>
      <c r="F4" s="31">
        <v>2850</v>
      </c>
      <c r="G4" s="26">
        <f t="shared" si="0"/>
        <v>330</v>
      </c>
      <c r="H4" s="27">
        <f t="shared" si="1"/>
        <v>50</v>
      </c>
      <c r="I4">
        <f t="shared" si="2"/>
        <v>1108.8</v>
      </c>
      <c r="J4">
        <f t="shared" si="3"/>
        <v>3628.8</v>
      </c>
    </row>
    <row r="5" spans="1:11">
      <c r="A5" s="5">
        <v>4</v>
      </c>
      <c r="B5" s="6">
        <v>646872</v>
      </c>
      <c r="C5" s="6" t="s">
        <v>6</v>
      </c>
      <c r="D5" s="14">
        <v>1225</v>
      </c>
      <c r="E5" s="14">
        <v>1102</v>
      </c>
      <c r="F5" s="31">
        <v>1400</v>
      </c>
      <c r="G5" s="26">
        <f t="shared" si="0"/>
        <v>298</v>
      </c>
      <c r="H5" s="27">
        <f t="shared" si="1"/>
        <v>175</v>
      </c>
      <c r="I5">
        <f t="shared" si="2"/>
        <v>484.88</v>
      </c>
      <c r="J5">
        <f t="shared" si="3"/>
        <v>1586.88</v>
      </c>
    </row>
    <row r="6" spans="1:11">
      <c r="A6" s="5">
        <v>5</v>
      </c>
      <c r="B6" s="6">
        <v>663091</v>
      </c>
      <c r="C6" s="6" t="s">
        <v>7</v>
      </c>
      <c r="D6" s="14">
        <v>1050</v>
      </c>
      <c r="E6" s="14">
        <v>945</v>
      </c>
      <c r="F6" s="31">
        <v>1250</v>
      </c>
      <c r="G6" s="26">
        <f t="shared" si="0"/>
        <v>305</v>
      </c>
      <c r="H6" s="27">
        <f t="shared" si="1"/>
        <v>200</v>
      </c>
      <c r="I6">
        <f t="shared" si="2"/>
        <v>415.8</v>
      </c>
      <c r="J6">
        <f t="shared" si="3"/>
        <v>1360.8</v>
      </c>
    </row>
    <row r="7" spans="1:11">
      <c r="A7" s="5">
        <v>6</v>
      </c>
      <c r="B7" s="6">
        <v>663094</v>
      </c>
      <c r="C7" s="6" t="s">
        <v>8</v>
      </c>
      <c r="D7" s="14">
        <v>6000</v>
      </c>
      <c r="E7" s="14">
        <v>4500</v>
      </c>
      <c r="F7" s="31">
        <v>7000</v>
      </c>
      <c r="G7" s="26">
        <f t="shared" si="0"/>
        <v>2500</v>
      </c>
      <c r="H7" s="27">
        <f t="shared" si="1"/>
        <v>1000</v>
      </c>
      <c r="I7">
        <f t="shared" si="2"/>
        <v>1980</v>
      </c>
      <c r="J7">
        <f t="shared" si="3"/>
        <v>6480</v>
      </c>
      <c r="K7" t="s">
        <v>18</v>
      </c>
    </row>
    <row r="8" spans="1:11">
      <c r="A8" s="5">
        <v>7</v>
      </c>
      <c r="B8" s="6">
        <v>615698</v>
      </c>
      <c r="C8" s="6" t="s">
        <v>9</v>
      </c>
      <c r="D8" s="14">
        <v>1880</v>
      </c>
      <c r="E8" s="14">
        <v>1692</v>
      </c>
      <c r="F8" s="31">
        <v>2050</v>
      </c>
      <c r="G8" s="26">
        <f t="shared" si="0"/>
        <v>358</v>
      </c>
      <c r="H8" s="27">
        <f t="shared" si="1"/>
        <v>170</v>
      </c>
      <c r="I8">
        <f t="shared" si="2"/>
        <v>744.48</v>
      </c>
      <c r="J8">
        <f t="shared" si="3"/>
        <v>2436.48</v>
      </c>
    </row>
    <row r="9" spans="1:11">
      <c r="A9" s="5">
        <v>8</v>
      </c>
      <c r="B9" s="6">
        <v>616026</v>
      </c>
      <c r="C9" s="6" t="s">
        <v>10</v>
      </c>
      <c r="D9" s="14">
        <v>2245</v>
      </c>
      <c r="E9" s="14">
        <v>2021</v>
      </c>
      <c r="F9" s="31">
        <v>2350</v>
      </c>
      <c r="G9" s="26">
        <f t="shared" si="0"/>
        <v>329</v>
      </c>
      <c r="H9" s="27">
        <f t="shared" si="1"/>
        <v>105</v>
      </c>
      <c r="I9">
        <f t="shared" si="2"/>
        <v>889.24</v>
      </c>
      <c r="J9">
        <f t="shared" si="3"/>
        <v>2910.24</v>
      </c>
    </row>
    <row r="10" spans="1:11">
      <c r="A10" s="5">
        <v>9</v>
      </c>
      <c r="B10" s="7">
        <v>630059</v>
      </c>
      <c r="C10" s="6" t="s">
        <v>11</v>
      </c>
      <c r="D10" s="14">
        <v>1725</v>
      </c>
      <c r="E10" s="14">
        <v>1553</v>
      </c>
      <c r="F10" s="31">
        <v>1850</v>
      </c>
      <c r="G10" s="26">
        <f t="shared" si="0"/>
        <v>297</v>
      </c>
      <c r="H10" s="27">
        <f t="shared" si="1"/>
        <v>125</v>
      </c>
      <c r="I10">
        <f t="shared" si="2"/>
        <v>683.32</v>
      </c>
      <c r="J10">
        <f t="shared" si="3"/>
        <v>2236.3200000000002</v>
      </c>
    </row>
    <row r="11" spans="1:11">
      <c r="A11" s="5">
        <v>10</v>
      </c>
      <c r="B11" s="7">
        <v>616039</v>
      </c>
      <c r="C11" s="6" t="s">
        <v>12</v>
      </c>
      <c r="D11" s="14">
        <v>3100</v>
      </c>
      <c r="E11" s="14">
        <v>2790</v>
      </c>
      <c r="F11" s="31">
        <v>3250</v>
      </c>
      <c r="G11" s="26">
        <f t="shared" si="0"/>
        <v>460</v>
      </c>
      <c r="H11" s="27">
        <f t="shared" si="1"/>
        <v>150</v>
      </c>
      <c r="I11">
        <f t="shared" si="2"/>
        <v>1227.5999999999999</v>
      </c>
      <c r="J11">
        <f t="shared" si="3"/>
        <v>4017.6</v>
      </c>
    </row>
    <row r="12" spans="1:11">
      <c r="A12" s="5">
        <v>11</v>
      </c>
      <c r="B12" s="6">
        <v>632215</v>
      </c>
      <c r="C12" s="6" t="s">
        <v>21</v>
      </c>
      <c r="D12" s="14">
        <v>2270</v>
      </c>
      <c r="E12" s="14">
        <v>2043</v>
      </c>
      <c r="F12" s="31">
        <v>2250</v>
      </c>
      <c r="G12" s="26">
        <f t="shared" si="0"/>
        <v>207</v>
      </c>
      <c r="H12" s="27">
        <f t="shared" si="1"/>
        <v>-20</v>
      </c>
      <c r="I12">
        <f t="shared" si="2"/>
        <v>898.92</v>
      </c>
      <c r="J12">
        <f t="shared" si="3"/>
        <v>2941.92</v>
      </c>
    </row>
    <row r="13" spans="1:11">
      <c r="A13" s="5">
        <v>12</v>
      </c>
      <c r="B13" s="6">
        <v>713141</v>
      </c>
      <c r="C13" s="6" t="s">
        <v>14</v>
      </c>
      <c r="D13" s="14">
        <v>6000</v>
      </c>
      <c r="E13" s="14">
        <v>4500</v>
      </c>
      <c r="F13" s="31">
        <v>6750</v>
      </c>
      <c r="G13" s="26">
        <f t="shared" si="0"/>
        <v>2250</v>
      </c>
      <c r="H13" s="27">
        <f t="shared" si="1"/>
        <v>750</v>
      </c>
      <c r="I13">
        <f t="shared" si="2"/>
        <v>1980</v>
      </c>
      <c r="J13">
        <f t="shared" si="3"/>
        <v>6480</v>
      </c>
    </row>
    <row r="14" spans="1:11" ht="15" thickBot="1">
      <c r="A14" s="19">
        <v>13</v>
      </c>
      <c r="B14" s="11">
        <v>780236</v>
      </c>
      <c r="C14" s="11" t="s">
        <v>15</v>
      </c>
      <c r="D14" s="11">
        <v>1700</v>
      </c>
      <c r="E14" s="11">
        <v>1530</v>
      </c>
      <c r="F14" s="32">
        <v>1750</v>
      </c>
      <c r="G14" s="28">
        <f t="shared" si="0"/>
        <v>220</v>
      </c>
      <c r="H14" s="29">
        <f t="shared" si="1"/>
        <v>50</v>
      </c>
      <c r="I14">
        <f t="shared" si="2"/>
        <v>673.2</v>
      </c>
      <c r="J14">
        <f t="shared" si="3"/>
        <v>2203.1999999999998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2025-02-10T09:30:28Z</dcterms:created>
  <dcterms:modified xsi:type="dcterms:W3CDTF">2025-08-13T09:52:53Z</dcterms:modified>
</cp:coreProperties>
</file>