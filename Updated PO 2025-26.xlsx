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F959CED4-77DA-4AF4-A4A0-91E7CC852416}" xr6:coauthVersionLast="47" xr6:coauthVersionMax="47" xr10:uidLastSave="{00000000-0000-0000-0000-000000000000}"/>
  <bookViews>
    <workbookView xWindow="-110" yWindow="-110" windowWidth="19420" windowHeight="10420" tabRatio="607" xr2:uid="{00000000-000D-0000-FFFF-FFFF00000000}"/>
  </bookViews>
  <sheets>
    <sheet name="APS" sheetId="7" r:id="rId1"/>
    <sheet name="MFG" sheetId="8" r:id="rId2"/>
    <sheet name="Pending to place order" sheetId="11" r:id="rId3"/>
    <sheet name="PENDIND SUPPLY" sheetId="9" r:id="rId4"/>
    <sheet name=" Materials Vendor Details " sheetId="10" r:id="rId5"/>
  </sheets>
  <definedNames>
    <definedName name="_xlnm._FilterDatabase" localSheetId="4" hidden="1">' Materials Vendor Details '!$A$1:$H$46</definedName>
    <definedName name="_xlnm._FilterDatabase" localSheetId="0" hidden="1">APS!$B$1:$N$1</definedName>
    <definedName name="_xlnm._FilterDatabase" localSheetId="1" hidden="1">MFG!$A$1:$R$36</definedName>
    <definedName name="_xlnm._FilterDatabase" localSheetId="3" hidden="1">'PENDIND SUPPLY'!$A$2:$K$2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7" l="1"/>
  <c r="E9" i="7"/>
  <c r="L9" i="7"/>
  <c r="L10" i="7"/>
  <c r="K7" i="7" l="1"/>
  <c r="K6" i="7" l="1"/>
  <c r="K8" i="7"/>
  <c r="K33" i="8"/>
  <c r="K18" i="8"/>
  <c r="L5" i="9" l="1"/>
  <c r="E5" i="9"/>
  <c r="L4" i="9"/>
  <c r="E4" i="9"/>
  <c r="L3" i="9"/>
  <c r="E3" i="9"/>
  <c r="L36" i="8" l="1"/>
  <c r="L35" i="8"/>
  <c r="L25" i="8"/>
  <c r="L26" i="8"/>
  <c r="L27" i="8"/>
  <c r="L28" i="8"/>
  <c r="L29" i="8"/>
  <c r="L30" i="8"/>
  <c r="L31" i="8"/>
  <c r="L32" i="8"/>
  <c r="L33" i="8"/>
  <c r="L34" i="8"/>
  <c r="E8" i="11" l="1"/>
  <c r="E7" i="11"/>
  <c r="K15" i="8" l="1"/>
  <c r="E33" i="8" l="1"/>
  <c r="E32" i="8"/>
  <c r="E31" i="8"/>
  <c r="E30" i="8"/>
  <c r="E29" i="8"/>
  <c r="E28" i="8"/>
  <c r="E27" i="8"/>
  <c r="E26" i="8"/>
  <c r="E25" i="8"/>
  <c r="E8" i="7" l="1"/>
  <c r="E7" i="7"/>
  <c r="L7" i="7"/>
  <c r="L8" i="7"/>
  <c r="E6" i="7"/>
  <c r="K24" i="8" l="1"/>
  <c r="K23" i="8"/>
  <c r="K16" i="8"/>
  <c r="L5" i="7" l="1"/>
  <c r="L6" i="7"/>
  <c r="L3" i="7"/>
  <c r="L4" i="7"/>
  <c r="L2" i="7"/>
  <c r="K6" i="8"/>
  <c r="L6" i="8" s="1"/>
  <c r="L19" i="8" l="1"/>
  <c r="L20" i="8"/>
  <c r="L21" i="8"/>
  <c r="L22" i="8"/>
  <c r="L23" i="8"/>
  <c r="L24" i="8"/>
  <c r="E24" i="8" l="1"/>
  <c r="E23" i="8"/>
  <c r="E22" i="8"/>
  <c r="E21" i="8"/>
  <c r="E20" i="8"/>
  <c r="E19" i="8"/>
  <c r="L18" i="8" l="1"/>
  <c r="K14" i="8" l="1"/>
  <c r="E3" i="7" l="1"/>
  <c r="E2" i="7"/>
  <c r="L8" i="8"/>
  <c r="L17" i="8" l="1"/>
  <c r="E9" i="8" l="1"/>
  <c r="E16" i="8"/>
  <c r="E15" i="8"/>
  <c r="E14" i="8"/>
  <c r="E13" i="8"/>
  <c r="E12" i="8"/>
  <c r="E11" i="8"/>
  <c r="E10" i="8"/>
  <c r="L10" i="8" l="1"/>
  <c r="L11" i="8"/>
  <c r="L12" i="8"/>
  <c r="L13" i="8"/>
  <c r="L14" i="8"/>
  <c r="L15" i="8"/>
  <c r="L16" i="8"/>
  <c r="L9" i="8"/>
</calcChain>
</file>

<file path=xl/sharedStrings.xml><?xml version="1.0" encoding="utf-8"?>
<sst xmlns="http://schemas.openxmlformats.org/spreadsheetml/2006/main" count="585" uniqueCount="190">
  <si>
    <t>Purchasing Document</t>
  </si>
  <si>
    <t>Item</t>
  </si>
  <si>
    <t>Net price</t>
  </si>
  <si>
    <t>Document Date</t>
  </si>
  <si>
    <t>Material</t>
  </si>
  <si>
    <t>Short Text</t>
  </si>
  <si>
    <t>Order Quantity</t>
  </si>
  <si>
    <t>Order Unit</t>
  </si>
  <si>
    <t>Still to be delivered (qty)</t>
  </si>
  <si>
    <t>MFG</t>
  </si>
  <si>
    <t>Admixture Tank_15 ltrs</t>
  </si>
  <si>
    <t>APS</t>
  </si>
  <si>
    <t>INDUSTRIAL BELL_225mm</t>
  </si>
  <si>
    <t>Control Room Desk_1000×500×750</t>
  </si>
  <si>
    <t>Clamp for BP bellow Dia 310mm</t>
  </si>
  <si>
    <t>Rollling bearing NUKR47</t>
  </si>
  <si>
    <t>BEARING_TAKE UP HOUSING_UCT210</t>
  </si>
  <si>
    <t>ROD END 20MM</t>
  </si>
  <si>
    <t>Bearing f. Take up Housing UCT 215</t>
  </si>
  <si>
    <t>Dell OptiPlex 3080 Tower</t>
  </si>
  <si>
    <t>Cement dust collector bellow dia245mm</t>
  </si>
  <si>
    <t>PC UPS</t>
  </si>
  <si>
    <t>Admixture Tank 30 Ltrs</t>
  </si>
  <si>
    <t>Discharge hopper bellow_Dia605x600_MT3.0</t>
  </si>
  <si>
    <t>SPRAY NOZZLE D 12.6 120 DEG SS</t>
  </si>
  <si>
    <t>APS/ MFG</t>
  </si>
  <si>
    <t>Cement Hop. Bellow_Silic_dia 205x4x400mm</t>
  </si>
  <si>
    <t>Discharge Chute Bellow_Dia 500x4x240mm</t>
  </si>
  <si>
    <t>Dia 150mm flexible grey PVC hose f. PRV</t>
  </si>
  <si>
    <t>BELLOW F. water hopper MT1.0 IBC</t>
  </si>
  <si>
    <t>Computer Screen 19", HDMICable, 4GB RAM</t>
  </si>
  <si>
    <t>Bellow_Butterfly-Valve_31 0x4x400mm</t>
  </si>
  <si>
    <t>Screw conv. Bellow_Dia278x500lg_MT3.0</t>
  </si>
  <si>
    <t>Water Bellow_BP60_Dia 170x4x300mm</t>
  </si>
  <si>
    <t>Cement_Dust_BP60_Dia 150flexible</t>
  </si>
  <si>
    <t>DUSTFILTR BP60 DIA250mm FLEXIBLE</t>
  </si>
  <si>
    <t>Cement Bellow_Dia330x200lg_MT3.0</t>
  </si>
  <si>
    <t>Screw Conveyor Bellow_Dia224x4x500mm</t>
  </si>
  <si>
    <t>Monochrom laserjet printerCanonLBP6030BJ</t>
  </si>
  <si>
    <t>Screw Conveyor Bellow_Dia174x4x500mm</t>
  </si>
  <si>
    <t>Water Bellow_Dia173x200 lg_MT3.0</t>
  </si>
  <si>
    <t>REMARK</t>
  </si>
  <si>
    <t>Discharge chute bellow Ø500x4x500</t>
  </si>
  <si>
    <t>Control Room Spike Board</t>
  </si>
  <si>
    <t>Delivered (qty)</t>
  </si>
  <si>
    <t xml:space="preserve"> Delivery Date From Store</t>
  </si>
  <si>
    <t>Putz DUE Delivery Date</t>
  </si>
  <si>
    <t>Due Delivery Date</t>
  </si>
  <si>
    <t xml:space="preserve">Sr.no </t>
  </si>
  <si>
    <t>Part no.</t>
  </si>
  <si>
    <t>Description</t>
  </si>
  <si>
    <t>Vendor</t>
  </si>
  <si>
    <t>Sales Price</t>
  </si>
  <si>
    <t>Phone no. / Email ID</t>
  </si>
  <si>
    <t>Email ID</t>
  </si>
  <si>
    <t xml:space="preserve">Namrata </t>
  </si>
  <si>
    <t>Namrata main no.</t>
  </si>
  <si>
    <t>namratarubberproduct@gmail.com</t>
  </si>
  <si>
    <t>Trupti</t>
  </si>
  <si>
    <t>CNZ</t>
  </si>
  <si>
    <t>Vantage Rubber Co.</t>
  </si>
  <si>
    <t>Vantage</t>
  </si>
  <si>
    <t>Vantage-120/ Local</t>
  </si>
  <si>
    <t>vantagerubber@yahoo.co.in</t>
  </si>
  <si>
    <t>Max International</t>
  </si>
  <si>
    <t>V M Traders</t>
  </si>
  <si>
    <t xml:space="preserve">Spraynoz Technologies </t>
  </si>
  <si>
    <t>Dell</t>
  </si>
  <si>
    <t>Nilkand/ AI Furniture</t>
  </si>
  <si>
    <t>Ingram/ Delta</t>
  </si>
  <si>
    <t>Pritvi/Jushi</t>
  </si>
  <si>
    <t>PP Sheet White Colour Top Plate OD 350 x  25mm THK</t>
  </si>
  <si>
    <t xml:space="preserve">Om package </t>
  </si>
  <si>
    <t>ompacking123@gmail.com</t>
  </si>
  <si>
    <t>PP Sheet White Colour Bottom Plate OD 350 x  25mm THK</t>
  </si>
  <si>
    <t>Acrylic Pipe clear transparent size 300mm x 5mm x 500mm</t>
  </si>
  <si>
    <t>Parul Corporation</t>
  </si>
  <si>
    <t>parindoshi@gmail.com</t>
  </si>
  <si>
    <t>S S STUD 304 630mm long m12 (12mm thick) stud with Threading on both sides 55 mm with nuts and 2 washers</t>
  </si>
  <si>
    <t xml:space="preserve">M R Steel </t>
  </si>
  <si>
    <t>9820503072 / 9833631987</t>
  </si>
  <si>
    <t>mrsteel2006@gmail.com</t>
  </si>
  <si>
    <t>Spray Nozel with flow capacity GPM at 40 PSI should be 39.85  presure bar should be maintained as per attachemnt</t>
  </si>
  <si>
    <t>Rubber o ring 5mm thick 300mm od 290mm id</t>
  </si>
  <si>
    <t xml:space="preserve">Asha Enterprises </t>
  </si>
  <si>
    <t>Control Room Desk Leo</t>
  </si>
  <si>
    <t>A1 Furniture</t>
  </si>
  <si>
    <t xml:space="preserve">Vostro Desktop 3710                                                                                                                                                        </t>
  </si>
  <si>
    <t xml:space="preserve"> Dell 22 Monitor - E2222H</t>
  </si>
  <si>
    <t>NRV Valv</t>
  </si>
  <si>
    <t>AK Traders</t>
  </si>
  <si>
    <t xml:space="preserve">9271006894 / 8806406674 / 9130067500 / </t>
  </si>
  <si>
    <t>hatleytechnologies@gmail.com</t>
  </si>
  <si>
    <t>Bellow Butterfly-Valve 310x4x290mm</t>
  </si>
  <si>
    <t>Pending</t>
  </si>
  <si>
    <t>sir email rate is 4750</t>
  </si>
  <si>
    <t>Price</t>
  </si>
  <si>
    <t>5400/6000</t>
  </si>
  <si>
    <t>120-170</t>
  </si>
  <si>
    <t>Hatley/ shri hari</t>
  </si>
  <si>
    <t>18.04.2025</t>
  </si>
  <si>
    <t>BELLOW F. water hopper MT 1.0 IB</t>
  </si>
  <si>
    <t>Bearing f. Take up Housin g UCT 215</t>
  </si>
  <si>
    <t>BEARING_TAKE UP HOUSING_U CT210</t>
  </si>
  <si>
    <t>Cement_Dust_BP60_Dia 150 flexible</t>
  </si>
  <si>
    <t>Cement Hop. Bellow_Silic_ dia 205x4x400mm</t>
  </si>
  <si>
    <t>Discharge Chute Bellow_Di a 500x4x240mm</t>
  </si>
  <si>
    <t>Screw Conveyor Bellow_Dia 224x4x50</t>
  </si>
  <si>
    <t>Price per unit</t>
  </si>
  <si>
    <t>M</t>
  </si>
  <si>
    <t>PCS</t>
  </si>
  <si>
    <t>08.05.2025</t>
  </si>
  <si>
    <t>16.05.2025</t>
  </si>
  <si>
    <t>02.06.2025</t>
  </si>
  <si>
    <t>16.07.2025</t>
  </si>
  <si>
    <t>02.09.2024</t>
  </si>
  <si>
    <t>17.10.2024</t>
  </si>
  <si>
    <t xml:space="preserve"> 23.09.2024</t>
  </si>
  <si>
    <t xml:space="preserve"> Clamp for BP bellow Dia 310mm</t>
  </si>
  <si>
    <t>07.11.2024</t>
  </si>
  <si>
    <t>04.01.2025</t>
  </si>
  <si>
    <t>24.01.2025</t>
  </si>
  <si>
    <t>10.01.2025</t>
  </si>
  <si>
    <t>Monochrom laserjet printe rCanonLBP6030BJ</t>
  </si>
  <si>
    <t>27.01.2025</t>
  </si>
  <si>
    <t>need to amend from 15 qty to 20 qty</t>
  </si>
  <si>
    <t>07.04.2025</t>
  </si>
  <si>
    <t>Screw Conveyor Bellow_Dia 224x4x500mm</t>
  </si>
  <si>
    <t>29.01.2025</t>
  </si>
  <si>
    <t>19.02.2025</t>
  </si>
  <si>
    <t>BELLOW F. water hopper MT 1.0 IBC</t>
  </si>
  <si>
    <t>22.04.2025</t>
  </si>
  <si>
    <t>07.05.2025</t>
  </si>
  <si>
    <t>06.06.2025</t>
  </si>
  <si>
    <t>21/04/2025</t>
  </si>
  <si>
    <t>15.05.2025</t>
  </si>
  <si>
    <t>14.06.2025</t>
  </si>
  <si>
    <t>19/5/25</t>
  </si>
  <si>
    <t>9 qty on 19/5/25</t>
  </si>
  <si>
    <t>27.05.2025</t>
  </si>
  <si>
    <t>19.06.2025</t>
  </si>
  <si>
    <t>24.06.2025</t>
  </si>
  <si>
    <t>11.07.2025</t>
  </si>
  <si>
    <t>Open order</t>
  </si>
  <si>
    <t>8 qty on 19/5/25  and 16 qty on 11.6.25</t>
  </si>
  <si>
    <t>11.6.25</t>
  </si>
  <si>
    <t>1 replacement delivered on 11.6.25</t>
  </si>
  <si>
    <t>Delivered from office</t>
  </si>
  <si>
    <t>12.06.2025</t>
  </si>
  <si>
    <t>12.07.2025</t>
  </si>
  <si>
    <t>20/6/25</t>
  </si>
  <si>
    <t>2qty replacement</t>
  </si>
  <si>
    <t>02.07.2025</t>
  </si>
  <si>
    <t>01.08.2025</t>
  </si>
  <si>
    <t>Water Bellow_BP60_Dia 170 x4x300mm</t>
  </si>
  <si>
    <t>01.07.2025</t>
  </si>
  <si>
    <t>22.07.2025</t>
  </si>
  <si>
    <t>29.07.2025</t>
  </si>
  <si>
    <t>Screw conv. Bellow_Dia278 x500lg_MT3.0</t>
  </si>
  <si>
    <t>Clamp for BP bellow Dia 3 10mm</t>
  </si>
  <si>
    <t>16.08.2025</t>
  </si>
  <si>
    <t>29.09.2025</t>
  </si>
  <si>
    <t>14.08.2025</t>
  </si>
  <si>
    <t>DUSTFILTR BP60 DIA250mm F LEXIBLE</t>
  </si>
  <si>
    <t>16 qty on 11.6.25</t>
  </si>
  <si>
    <t>closed</t>
  </si>
  <si>
    <t>Remark</t>
  </si>
  <si>
    <t>JP PO NO.</t>
  </si>
  <si>
    <t>Namrata A 201</t>
  </si>
  <si>
    <t>(2 replacement) 3 qty ordered on 3/7/25</t>
  </si>
  <si>
    <t>Namrata M 202</t>
  </si>
  <si>
    <t>CNZ 203</t>
  </si>
  <si>
    <t>Vantage 204</t>
  </si>
  <si>
    <t>26.06.2025</t>
  </si>
  <si>
    <t>SPRAY NOZZLE D 12.6 120 D EG SS</t>
  </si>
  <si>
    <t>26.07.2025</t>
  </si>
  <si>
    <t xml:space="preserve"> 08.07.2025</t>
  </si>
  <si>
    <t>ORAL</t>
  </si>
  <si>
    <t>08.07.2025</t>
  </si>
  <si>
    <t>05.08.2025</t>
  </si>
  <si>
    <t>15 qty on 11/7/2025</t>
  </si>
  <si>
    <t>9 qty on 11/7/2025</t>
  </si>
  <si>
    <t>14 on 19/5/25 and 5 qty on 11.6.25    &amp; 15 qty on 11/7/25</t>
  </si>
  <si>
    <t>1 replacement forwaarded to putzs might get replaced again 12.7.25</t>
  </si>
  <si>
    <t>Amanded from 20 to 50 qty</t>
  </si>
  <si>
    <t>missing item received on 23.7.25</t>
  </si>
  <si>
    <t>bal 15 qty closed</t>
  </si>
  <si>
    <t>12.08.2025</t>
  </si>
  <si>
    <t>11.09.2025</t>
  </si>
  <si>
    <t>Screw Conveyor Bellow_Dia 174x4x5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</si>
</sst>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  "/>
    </font>
    <font>
      <b/>
      <sz val="10"/>
      <name val="Arial  "/>
    </font>
    <font>
      <sz val="10"/>
      <color rgb="FF000000"/>
      <name val="Helvetica-Bold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Helvetica"/>
    </font>
    <font>
      <sz val="10"/>
      <color rgb="FF000000"/>
      <name val="Helvetica"/>
    </font>
  </fonts>
  <fills count="11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3" fontId="1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3" fontId="1" fillId="2" borderId="2" xfId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3" fontId="5" fillId="0" borderId="0" xfId="1" applyFont="1" applyFill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3" fontId="5" fillId="0" borderId="13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3" fontId="5" fillId="0" borderId="15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43" fontId="11" fillId="0" borderId="1" xfId="1" applyFont="1" applyFill="1" applyBorder="1" applyAlignment="1">
      <alignment horizontal="center" vertical="center" wrapText="1"/>
    </xf>
    <xf numFmtId="0" fontId="9" fillId="0" borderId="1" xfId="2" applyFill="1" applyBorder="1" applyAlignment="1">
      <alignment horizontal="center" vertical="center" wrapText="1"/>
    </xf>
    <xf numFmtId="0" fontId="9" fillId="0" borderId="13" xfId="2" applyFill="1" applyBorder="1" applyAlignment="1">
      <alignment horizontal="center" vertical="center" wrapText="1"/>
    </xf>
    <xf numFmtId="4" fontId="0" fillId="0" borderId="1" xfId="0" applyNumberFormat="1" applyFill="1" applyBorder="1"/>
    <xf numFmtId="1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4" fontId="0" fillId="5" borderId="1" xfId="0" applyNumberFormat="1" applyFill="1" applyBorder="1"/>
    <xf numFmtId="43" fontId="0" fillId="5" borderId="1" xfId="1" applyFont="1" applyFill="1" applyBorder="1"/>
    <xf numFmtId="14" fontId="0" fillId="5" borderId="1" xfId="0" applyNumberForma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43" fontId="2" fillId="7" borderId="1" xfId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1" fontId="1" fillId="2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" fontId="0" fillId="5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4" fontId="0" fillId="9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4" fontId="0" fillId="10" borderId="1" xfId="0" applyNumberFormat="1" applyFill="1" applyBorder="1" applyAlignment="1">
      <alignment horizont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3" fillId="7" borderId="20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7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4" fontId="0" fillId="5" borderId="1" xfId="0" applyNumberFormat="1" applyFill="1" applyBorder="1" applyAlignment="1">
      <alignment horizontal="center"/>
    </xf>
    <xf numFmtId="4" fontId="0" fillId="5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3" fontId="2" fillId="7" borderId="1" xfId="1" applyFont="1" applyFill="1" applyBorder="1" applyAlignment="1">
      <alignment horizontal="right" vertical="center" wrapText="1"/>
    </xf>
    <xf numFmtId="4" fontId="0" fillId="7" borderId="1" xfId="0" applyNumberFormat="1" applyFill="1" applyBorder="1" applyAlignment="1">
      <alignment horizontal="right"/>
    </xf>
    <xf numFmtId="0" fontId="0" fillId="7" borderId="1" xfId="0" applyFill="1" applyBorder="1" applyAlignment="1">
      <alignment horizontal="right" vertical="center"/>
    </xf>
    <xf numFmtId="4" fontId="0" fillId="7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4" fontId="0" fillId="5" borderId="2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" xfId="0" applyFill="1" applyBorder="1" applyAlignment="1">
      <alignment horizontal="right" vertical="center"/>
    </xf>
    <xf numFmtId="4" fontId="0" fillId="9" borderId="1" xfId="0" applyNumberFormat="1" applyFill="1" applyBorder="1" applyAlignment="1">
      <alignment horizontal="center"/>
    </xf>
    <xf numFmtId="14" fontId="0" fillId="9" borderId="1" xfId="0" applyNumberFormat="1" applyFill="1" applyBorder="1" applyAlignment="1">
      <alignment horizontal="center" vertical="center"/>
    </xf>
    <xf numFmtId="43" fontId="5" fillId="0" borderId="22" xfId="1" applyFont="1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5" borderId="2" xfId="0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vantagerubber@yahoo.co.in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parindoshi@gmail.com" TargetMode="External"/><Relationship Id="rId7" Type="http://schemas.openxmlformats.org/officeDocument/2006/relationships/hyperlink" Target="mailto:namratarubberproduct@gmail.com" TargetMode="External"/><Relationship Id="rId12" Type="http://schemas.openxmlformats.org/officeDocument/2006/relationships/hyperlink" Target="mailto:hatleytechnologies@gmail.com" TargetMode="External"/><Relationship Id="rId2" Type="http://schemas.openxmlformats.org/officeDocument/2006/relationships/hyperlink" Target="mailto:mrsteel2006@gmail.com" TargetMode="External"/><Relationship Id="rId1" Type="http://schemas.openxmlformats.org/officeDocument/2006/relationships/hyperlink" Target="mailto:vantagerubber@yahoo.co.in" TargetMode="External"/><Relationship Id="rId6" Type="http://schemas.openxmlformats.org/officeDocument/2006/relationships/hyperlink" Target="mailto:hatleytechnologies@gmail.com" TargetMode="External"/><Relationship Id="rId11" Type="http://schemas.openxmlformats.org/officeDocument/2006/relationships/hyperlink" Target="mailto:mrsteel2006@gmail.com" TargetMode="External"/><Relationship Id="rId5" Type="http://schemas.openxmlformats.org/officeDocument/2006/relationships/hyperlink" Target="mailto:namratarubberproduct@gmail.com" TargetMode="External"/><Relationship Id="rId10" Type="http://schemas.openxmlformats.org/officeDocument/2006/relationships/hyperlink" Target="mailto:parindoshi@gmail.com" TargetMode="External"/><Relationship Id="rId4" Type="http://schemas.openxmlformats.org/officeDocument/2006/relationships/hyperlink" Target="mailto:ompacking123@gmail.com" TargetMode="External"/><Relationship Id="rId9" Type="http://schemas.openxmlformats.org/officeDocument/2006/relationships/hyperlink" Target="mailto:ompacking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2987-46A9-4273-B6A8-6EF0BBFD6253}">
  <dimension ref="A1:O17"/>
  <sheetViews>
    <sheetView tabSelected="1" workbookViewId="0">
      <pane ySplit="1" topLeftCell="A2" activePane="bottomLeft" state="frozen"/>
      <selection pane="bottomLeft" activeCell="G9" sqref="G9:I10"/>
    </sheetView>
  </sheetViews>
  <sheetFormatPr defaultRowHeight="14.5"/>
  <cols>
    <col min="1" max="1" width="8.7265625" style="6"/>
    <col min="2" max="2" width="13.54296875" style="6" customWidth="1"/>
    <col min="3" max="3" width="7.36328125" style="6" customWidth="1"/>
    <col min="4" max="4" width="7.54296875" style="6" customWidth="1"/>
    <col min="5" max="5" width="9.54296875" style="6" customWidth="1"/>
    <col min="6" max="6" width="12.81640625" style="6" customWidth="1"/>
    <col min="7" max="7" width="9.08984375" style="6" customWidth="1"/>
    <col min="8" max="8" width="39.26953125" style="6" customWidth="1"/>
    <col min="9" max="9" width="10.453125" style="6" customWidth="1"/>
    <col min="10" max="10" width="7.26953125" style="6" customWidth="1"/>
    <col min="11" max="11" width="8.81640625" style="6" customWidth="1"/>
    <col min="12" max="12" width="10.6328125" style="6" customWidth="1"/>
    <col min="13" max="13" width="12.08984375" style="6" customWidth="1"/>
    <col min="14" max="14" width="15.26953125" style="6" customWidth="1"/>
    <col min="15" max="15" width="19.6328125" style="6" customWidth="1"/>
    <col min="16" max="16384" width="8.7265625" style="6"/>
  </cols>
  <sheetData>
    <row r="1" spans="1:15" s="2" customFormat="1" ht="39">
      <c r="A1" s="108" t="s">
        <v>167</v>
      </c>
      <c r="B1" s="1" t="s">
        <v>0</v>
      </c>
      <c r="C1" s="4" t="s">
        <v>25</v>
      </c>
      <c r="D1" s="1" t="s">
        <v>1</v>
      </c>
      <c r="E1" s="5" t="s">
        <v>2</v>
      </c>
      <c r="F1" s="1" t="s">
        <v>3</v>
      </c>
      <c r="G1" s="73" t="s">
        <v>4</v>
      </c>
      <c r="H1" s="1" t="s">
        <v>5</v>
      </c>
      <c r="I1" s="1" t="s">
        <v>6</v>
      </c>
      <c r="J1" s="1" t="s">
        <v>7</v>
      </c>
      <c r="K1" s="1" t="s">
        <v>44</v>
      </c>
      <c r="L1" s="1" t="s">
        <v>8</v>
      </c>
      <c r="M1" s="1" t="s">
        <v>47</v>
      </c>
      <c r="N1" s="2" t="s">
        <v>147</v>
      </c>
      <c r="O1" s="2" t="s">
        <v>166</v>
      </c>
    </row>
    <row r="2" spans="1:15" s="52" customFormat="1">
      <c r="B2" s="54">
        <v>151621853</v>
      </c>
      <c r="C2" s="54" t="s">
        <v>11</v>
      </c>
      <c r="D2" s="54">
        <v>10</v>
      </c>
      <c r="E2" s="54">
        <f>60720
 +5464.8
 +5464</f>
        <v>71648.800000000003</v>
      </c>
      <c r="F2" s="54" t="s">
        <v>135</v>
      </c>
      <c r="G2" s="54">
        <v>630059</v>
      </c>
      <c r="H2" s="54" t="s">
        <v>105</v>
      </c>
      <c r="I2" s="54">
        <v>15</v>
      </c>
      <c r="J2" s="54" t="s">
        <v>110</v>
      </c>
      <c r="K2" s="54">
        <v>15</v>
      </c>
      <c r="L2" s="54">
        <f>I2-K2</f>
        <v>0</v>
      </c>
      <c r="M2" s="54" t="s">
        <v>136</v>
      </c>
      <c r="N2" s="54" t="s">
        <v>150</v>
      </c>
    </row>
    <row r="3" spans="1:15" s="52" customFormat="1">
      <c r="B3" s="54">
        <v>151621853</v>
      </c>
      <c r="C3" s="54" t="s">
        <v>11</v>
      </c>
      <c r="D3" s="54">
        <v>20</v>
      </c>
      <c r="E3" s="54">
        <f>57380+
 5164.2
 +5164</f>
        <v>67708.2</v>
      </c>
      <c r="F3" s="54" t="s">
        <v>135</v>
      </c>
      <c r="G3" s="54">
        <v>632215</v>
      </c>
      <c r="H3" s="54" t="s">
        <v>31</v>
      </c>
      <c r="I3" s="54">
        <v>10</v>
      </c>
      <c r="J3" s="54" t="s">
        <v>110</v>
      </c>
      <c r="K3" s="54">
        <v>10</v>
      </c>
      <c r="L3" s="54">
        <f t="shared" ref="L3:L10" si="0">I3-K3</f>
        <v>0</v>
      </c>
      <c r="M3" s="54" t="s">
        <v>136</v>
      </c>
      <c r="N3" s="58">
        <v>45998</v>
      </c>
    </row>
    <row r="4" spans="1:15" s="52" customFormat="1">
      <c r="B4" s="54">
        <v>151621862</v>
      </c>
      <c r="C4" s="54" t="s">
        <v>11</v>
      </c>
      <c r="D4" s="54">
        <v>10</v>
      </c>
      <c r="E4" s="83">
        <v>99367.8</v>
      </c>
      <c r="F4" s="54" t="s">
        <v>135</v>
      </c>
      <c r="G4" s="54">
        <v>616026</v>
      </c>
      <c r="H4" s="54" t="s">
        <v>127</v>
      </c>
      <c r="I4" s="54">
        <v>15</v>
      </c>
      <c r="J4" s="54" t="s">
        <v>110</v>
      </c>
      <c r="K4" s="54">
        <v>15</v>
      </c>
      <c r="L4" s="54">
        <f t="shared" si="0"/>
        <v>0</v>
      </c>
      <c r="M4" s="54" t="s">
        <v>136</v>
      </c>
      <c r="N4" s="54" t="s">
        <v>145</v>
      </c>
    </row>
    <row r="5" spans="1:15" s="52" customFormat="1">
      <c r="B5" s="110">
        <v>151634177</v>
      </c>
      <c r="C5" s="110" t="s">
        <v>11</v>
      </c>
      <c r="D5" s="110">
        <v>10</v>
      </c>
      <c r="E5" s="133">
        <v>60888</v>
      </c>
      <c r="F5" s="110" t="s">
        <v>148</v>
      </c>
      <c r="G5" s="110">
        <v>713141</v>
      </c>
      <c r="H5" s="110" t="s">
        <v>42</v>
      </c>
      <c r="I5" s="110">
        <v>4</v>
      </c>
      <c r="J5" s="110" t="s">
        <v>110</v>
      </c>
      <c r="K5" s="110">
        <v>4</v>
      </c>
      <c r="L5" s="110">
        <f t="shared" si="0"/>
        <v>0</v>
      </c>
      <c r="M5" s="110" t="s">
        <v>149</v>
      </c>
      <c r="N5" s="110" t="s">
        <v>150</v>
      </c>
      <c r="O5" s="52" t="s">
        <v>183</v>
      </c>
    </row>
    <row r="6" spans="1:15" s="12" customFormat="1">
      <c r="A6" s="148" t="s">
        <v>168</v>
      </c>
      <c r="B6" s="122">
        <v>151642309</v>
      </c>
      <c r="C6" s="120" t="s">
        <v>11</v>
      </c>
      <c r="D6" s="122">
        <v>10</v>
      </c>
      <c r="E6" s="120">
        <f>65210
 +5868.9
+ 5868.9</f>
        <v>76947.799999999988</v>
      </c>
      <c r="F6" s="122" t="s">
        <v>152</v>
      </c>
      <c r="G6" s="122">
        <v>616039</v>
      </c>
      <c r="H6" s="122" t="s">
        <v>106</v>
      </c>
      <c r="I6" s="120">
        <v>10</v>
      </c>
      <c r="J6" s="120" t="s">
        <v>110</v>
      </c>
      <c r="K6" s="120">
        <f>5+2+2+1</f>
        <v>10</v>
      </c>
      <c r="L6" s="120">
        <f t="shared" si="0"/>
        <v>0</v>
      </c>
      <c r="M6" s="122" t="s">
        <v>153</v>
      </c>
      <c r="N6" s="120"/>
      <c r="O6" s="120" t="s">
        <v>169</v>
      </c>
    </row>
    <row r="7" spans="1:15" s="12" customFormat="1">
      <c r="A7" s="148"/>
      <c r="B7" s="122">
        <v>151642309</v>
      </c>
      <c r="C7" s="120" t="s">
        <v>11</v>
      </c>
      <c r="D7" s="120">
        <v>20</v>
      </c>
      <c r="E7" s="120">
        <f>35550
+ 3199.5
 +3199.5</f>
        <v>41949</v>
      </c>
      <c r="F7" s="122" t="s">
        <v>152</v>
      </c>
      <c r="G7" s="122">
        <v>646872</v>
      </c>
      <c r="H7" s="122" t="s">
        <v>154</v>
      </c>
      <c r="I7" s="120">
        <v>10</v>
      </c>
      <c r="J7" s="120" t="s">
        <v>110</v>
      </c>
      <c r="K7" s="120">
        <f>9+1</f>
        <v>10</v>
      </c>
      <c r="L7" s="120">
        <f t="shared" si="0"/>
        <v>0</v>
      </c>
      <c r="M7" s="122" t="s">
        <v>153</v>
      </c>
      <c r="N7" s="120"/>
      <c r="O7" s="120"/>
    </row>
    <row r="8" spans="1:15" s="12" customFormat="1">
      <c r="A8" s="148"/>
      <c r="B8" s="122">
        <v>151642309</v>
      </c>
      <c r="C8" s="120" t="s">
        <v>11</v>
      </c>
      <c r="D8" s="120">
        <v>30</v>
      </c>
      <c r="E8" s="120">
        <f>57380
+ 5164.2
+ 5164.2</f>
        <v>67708.399999999994</v>
      </c>
      <c r="F8" s="122" t="s">
        <v>152</v>
      </c>
      <c r="G8" s="122">
        <v>632215</v>
      </c>
      <c r="H8" s="122" t="s">
        <v>31</v>
      </c>
      <c r="I8" s="120">
        <v>10</v>
      </c>
      <c r="J8" s="120" t="s">
        <v>110</v>
      </c>
      <c r="K8" s="120">
        <f>5+2+3</f>
        <v>10</v>
      </c>
      <c r="L8" s="120">
        <f t="shared" si="0"/>
        <v>0</v>
      </c>
      <c r="M8" s="122" t="s">
        <v>153</v>
      </c>
      <c r="N8" s="120"/>
      <c r="O8" s="120"/>
    </row>
    <row r="9" spans="1:15" s="7" customFormat="1">
      <c r="A9" s="50"/>
      <c r="B9" s="50">
        <v>151659369</v>
      </c>
      <c r="C9" s="50" t="s">
        <v>11</v>
      </c>
      <c r="D9" s="50">
        <v>10</v>
      </c>
      <c r="E9" s="50">
        <f>72465
 +6521.85
 +6521.8</f>
        <v>85508.650000000009</v>
      </c>
      <c r="F9" s="50" t="s">
        <v>187</v>
      </c>
      <c r="G9" s="50">
        <v>615698</v>
      </c>
      <c r="H9" s="50" t="s">
        <v>189</v>
      </c>
      <c r="I9" s="50">
        <v>15</v>
      </c>
      <c r="J9" s="50" t="s">
        <v>110</v>
      </c>
      <c r="K9" s="50"/>
      <c r="L9" s="50">
        <f t="shared" si="0"/>
        <v>15</v>
      </c>
      <c r="M9" s="50" t="s">
        <v>188</v>
      </c>
      <c r="N9" s="50"/>
      <c r="O9" s="50"/>
    </row>
    <row r="10" spans="1:15" s="7" customFormat="1">
      <c r="A10" s="50"/>
      <c r="B10" s="50">
        <v>151659369</v>
      </c>
      <c r="C10" s="50" t="s">
        <v>11</v>
      </c>
      <c r="D10" s="50">
        <v>20</v>
      </c>
      <c r="E10" s="50">
        <f>56140
 +5052.6
+ 5052.6</f>
        <v>66245.2</v>
      </c>
      <c r="F10" s="50" t="s">
        <v>187</v>
      </c>
      <c r="G10" s="50">
        <v>616026</v>
      </c>
      <c r="H10" s="50" t="s">
        <v>127</v>
      </c>
      <c r="I10" s="50">
        <v>10</v>
      </c>
      <c r="J10" s="50" t="s">
        <v>110</v>
      </c>
      <c r="K10" s="50"/>
      <c r="L10" s="50">
        <f t="shared" si="0"/>
        <v>10</v>
      </c>
      <c r="M10" s="50" t="s">
        <v>188</v>
      </c>
      <c r="N10" s="50"/>
      <c r="O10" s="50"/>
    </row>
    <row r="11" spans="1:1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</row>
    <row r="16" spans="1:15">
      <c r="G16" s="85">
        <v>713141</v>
      </c>
      <c r="H16" s="85" t="s">
        <v>42</v>
      </c>
      <c r="I16" s="85">
        <v>1</v>
      </c>
      <c r="J16" s="85" t="s">
        <v>110</v>
      </c>
    </row>
    <row r="17" spans="7:10">
      <c r="G17" s="85"/>
      <c r="H17" s="85" t="s">
        <v>185</v>
      </c>
      <c r="I17" s="85"/>
      <c r="J17" s="85"/>
    </row>
  </sheetData>
  <autoFilter ref="B1:N1" xr:uid="{203D2987-46A9-4273-B6A8-6EF0BBFD6253}"/>
  <mergeCells count="1">
    <mergeCell ref="A6:A8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1BE2-0A2A-4152-9CA2-F27BC4CAFA81}">
  <sheetPr filterMode="1"/>
  <dimension ref="A1:R72"/>
  <sheetViews>
    <sheetView workbookViewId="0">
      <pane ySplit="1" topLeftCell="A2" activePane="bottomLeft" state="frozen"/>
      <selection pane="bottomLeft" activeCell="J37" sqref="J37"/>
    </sheetView>
  </sheetViews>
  <sheetFormatPr defaultRowHeight="14.5"/>
  <cols>
    <col min="1" max="1" width="13.26953125" style="53" customWidth="1"/>
    <col min="2" max="2" width="13.453125" style="6" customWidth="1"/>
    <col min="3" max="3" width="7.81640625" style="6" customWidth="1"/>
    <col min="4" max="4" width="5.54296875" style="6" customWidth="1"/>
    <col min="5" max="5" width="12.453125" style="132" customWidth="1"/>
    <col min="6" max="6" width="11.90625" style="6" customWidth="1"/>
    <col min="7" max="7" width="7.90625" style="6" customWidth="1"/>
    <col min="8" max="8" width="37.90625" style="6" customWidth="1"/>
    <col min="9" max="9" width="8.6328125" style="6" customWidth="1"/>
    <col min="10" max="10" width="7.08984375" style="6" customWidth="1"/>
    <col min="11" max="11" width="8.81640625" style="6" customWidth="1"/>
    <col min="12" max="12" width="10.1796875" style="6" customWidth="1"/>
    <col min="13" max="13" width="9.1796875" style="6" customWidth="1"/>
    <col min="14" max="14" width="15.26953125" style="6" customWidth="1"/>
    <col min="15" max="15" width="11.36328125" style="6" customWidth="1"/>
    <col min="16" max="16" width="13.26953125" style="6" customWidth="1"/>
    <col min="17" max="17" width="42.26953125" style="82" bestFit="1" customWidth="1"/>
    <col min="18" max="18" width="12.7265625" style="6" bestFit="1" customWidth="1"/>
    <col min="19" max="16384" width="8.7265625" style="6"/>
  </cols>
  <sheetData>
    <row r="1" spans="1:18" s="2" customFormat="1" ht="39">
      <c r="A1" s="109" t="s">
        <v>167</v>
      </c>
      <c r="B1" s="98" t="s">
        <v>0</v>
      </c>
      <c r="C1" s="9" t="s">
        <v>25</v>
      </c>
      <c r="D1" s="8" t="s">
        <v>1</v>
      </c>
      <c r="E1" s="10" t="s">
        <v>2</v>
      </c>
      <c r="F1" s="8" t="s">
        <v>3</v>
      </c>
      <c r="G1" s="11" t="s">
        <v>4</v>
      </c>
      <c r="H1" s="8" t="s">
        <v>5</v>
      </c>
      <c r="I1" s="8" t="s">
        <v>6</v>
      </c>
      <c r="J1" s="8" t="s">
        <v>7</v>
      </c>
      <c r="K1" s="8" t="s">
        <v>44</v>
      </c>
      <c r="L1" s="8" t="s">
        <v>8</v>
      </c>
      <c r="M1" s="8" t="s">
        <v>108</v>
      </c>
      <c r="N1" s="8" t="s">
        <v>143</v>
      </c>
      <c r="O1" s="8" t="s">
        <v>46</v>
      </c>
      <c r="P1" s="8" t="s">
        <v>45</v>
      </c>
      <c r="Q1" s="77" t="s">
        <v>41</v>
      </c>
    </row>
    <row r="2" spans="1:18" s="64" customFormat="1" ht="15.5">
      <c r="A2" s="107"/>
      <c r="B2" s="99">
        <v>151517683</v>
      </c>
      <c r="C2" s="60" t="s">
        <v>9</v>
      </c>
      <c r="D2" s="60">
        <v>70</v>
      </c>
      <c r="E2" s="123">
        <v>2643.2</v>
      </c>
      <c r="F2" s="59" t="s">
        <v>115</v>
      </c>
      <c r="G2" s="62">
        <v>649868</v>
      </c>
      <c r="H2" s="74" t="s">
        <v>14</v>
      </c>
      <c r="I2" s="60">
        <v>20</v>
      </c>
      <c r="J2" s="60" t="s">
        <v>110</v>
      </c>
      <c r="K2" s="60">
        <v>0</v>
      </c>
      <c r="L2" s="60">
        <v>20</v>
      </c>
      <c r="M2" s="60"/>
      <c r="N2" s="60"/>
      <c r="O2" s="63" t="s">
        <v>116</v>
      </c>
      <c r="P2" s="63"/>
      <c r="Q2" s="78"/>
    </row>
    <row r="3" spans="1:18" s="64" customFormat="1" ht="15.5">
      <c r="A3" s="60"/>
      <c r="B3" s="99">
        <v>151525288</v>
      </c>
      <c r="C3" s="60" t="s">
        <v>9</v>
      </c>
      <c r="D3" s="60">
        <v>50</v>
      </c>
      <c r="E3" s="123">
        <v>1321.6</v>
      </c>
      <c r="F3" s="60" t="s">
        <v>117</v>
      </c>
      <c r="G3" s="62">
        <v>649868</v>
      </c>
      <c r="H3" s="60" t="s">
        <v>118</v>
      </c>
      <c r="I3" s="60">
        <v>10</v>
      </c>
      <c r="J3" s="60" t="s">
        <v>110</v>
      </c>
      <c r="K3" s="60">
        <v>0</v>
      </c>
      <c r="L3" s="60">
        <v>10</v>
      </c>
      <c r="M3" s="60"/>
      <c r="N3" s="60"/>
      <c r="O3" s="63" t="s">
        <v>119</v>
      </c>
      <c r="P3" s="63"/>
      <c r="Q3" s="78"/>
    </row>
    <row r="4" spans="1:18" s="69" customFormat="1">
      <c r="A4" s="66"/>
      <c r="B4" s="65">
        <v>151562990</v>
      </c>
      <c r="C4" s="66" t="s">
        <v>9</v>
      </c>
      <c r="D4" s="66">
        <v>10</v>
      </c>
      <c r="E4" s="124">
        <v>53100</v>
      </c>
      <c r="F4" s="68" t="s">
        <v>120</v>
      </c>
      <c r="G4" s="68">
        <v>719031</v>
      </c>
      <c r="H4" s="68" t="s">
        <v>19</v>
      </c>
      <c r="I4" s="66">
        <v>1</v>
      </c>
      <c r="J4" s="66" t="s">
        <v>110</v>
      </c>
      <c r="K4" s="66">
        <v>0</v>
      </c>
      <c r="L4" s="66">
        <v>1</v>
      </c>
      <c r="M4" s="66"/>
      <c r="N4" s="66"/>
      <c r="O4" s="68" t="s">
        <v>121</v>
      </c>
      <c r="P4" s="66"/>
      <c r="Q4" s="79"/>
    </row>
    <row r="5" spans="1:18" s="69" customFormat="1">
      <c r="A5" s="66"/>
      <c r="B5" s="100">
        <v>151566200</v>
      </c>
      <c r="C5" s="66" t="s">
        <v>9</v>
      </c>
      <c r="D5" s="66">
        <v>10</v>
      </c>
      <c r="E5" s="125">
        <v>176982.3</v>
      </c>
      <c r="F5" s="68" t="s">
        <v>122</v>
      </c>
      <c r="G5" s="68">
        <v>719381</v>
      </c>
      <c r="H5" s="68" t="s">
        <v>123</v>
      </c>
      <c r="I5" s="66">
        <v>15</v>
      </c>
      <c r="J5" s="66" t="s">
        <v>110</v>
      </c>
      <c r="K5" s="66">
        <v>0</v>
      </c>
      <c r="L5" s="66">
        <v>15</v>
      </c>
      <c r="M5" s="66"/>
      <c r="N5" s="66"/>
      <c r="O5" s="68" t="s">
        <v>124</v>
      </c>
      <c r="P5" s="66"/>
      <c r="Q5" s="79" t="s">
        <v>125</v>
      </c>
    </row>
    <row r="6" spans="1:18" s="52" customFormat="1" hidden="1">
      <c r="A6" s="54"/>
      <c r="B6" s="101">
        <v>151566200</v>
      </c>
      <c r="C6" s="54" t="s">
        <v>9</v>
      </c>
      <c r="D6" s="54">
        <v>60</v>
      </c>
      <c r="E6" s="54">
        <v>66245.2</v>
      </c>
      <c r="F6" s="71" t="s">
        <v>122</v>
      </c>
      <c r="G6" s="71">
        <v>616026</v>
      </c>
      <c r="H6" s="71" t="s">
        <v>127</v>
      </c>
      <c r="I6" s="54">
        <v>10</v>
      </c>
      <c r="J6" s="54" t="s">
        <v>110</v>
      </c>
      <c r="K6" s="54">
        <f>9+1</f>
        <v>10</v>
      </c>
      <c r="L6" s="54">
        <f>I6-K6</f>
        <v>0</v>
      </c>
      <c r="M6" s="54"/>
      <c r="N6" s="54"/>
      <c r="O6" s="71" t="s">
        <v>126</v>
      </c>
      <c r="P6" s="54"/>
      <c r="Q6" s="80" t="s">
        <v>146</v>
      </c>
    </row>
    <row r="7" spans="1:18" s="69" customFormat="1">
      <c r="A7" s="66"/>
      <c r="B7" s="102">
        <v>151575274</v>
      </c>
      <c r="C7" s="66" t="s">
        <v>9</v>
      </c>
      <c r="D7" s="66">
        <v>10</v>
      </c>
      <c r="E7" s="126">
        <v>176982.3</v>
      </c>
      <c r="F7" s="66" t="s">
        <v>128</v>
      </c>
      <c r="G7" s="66">
        <v>719381</v>
      </c>
      <c r="H7" s="66" t="s">
        <v>38</v>
      </c>
      <c r="I7" s="66">
        <v>15</v>
      </c>
      <c r="J7" s="66" t="s">
        <v>110</v>
      </c>
      <c r="K7" s="66"/>
      <c r="L7" s="66">
        <v>15</v>
      </c>
      <c r="M7" s="66"/>
      <c r="N7" s="66"/>
      <c r="O7" s="66" t="s">
        <v>129</v>
      </c>
      <c r="P7" s="66"/>
      <c r="Q7" s="79"/>
    </row>
    <row r="8" spans="1:18" s="52" customFormat="1" hidden="1">
      <c r="A8" s="54"/>
      <c r="B8" s="101"/>
      <c r="C8" s="54"/>
      <c r="D8" s="54"/>
      <c r="E8" s="54"/>
      <c r="F8" s="55"/>
      <c r="G8" s="71">
        <v>724214</v>
      </c>
      <c r="H8" s="71" t="s">
        <v>21</v>
      </c>
      <c r="I8" s="54">
        <v>2</v>
      </c>
      <c r="J8" s="54" t="s">
        <v>110</v>
      </c>
      <c r="K8" s="54">
        <v>2</v>
      </c>
      <c r="L8" s="54">
        <f t="shared" ref="L8:L36" si="0">I8-K8</f>
        <v>0</v>
      </c>
      <c r="M8" s="56"/>
      <c r="N8" s="76"/>
      <c r="O8" s="134"/>
      <c r="P8" s="72" t="s">
        <v>134</v>
      </c>
      <c r="Q8" s="54"/>
    </row>
    <row r="9" spans="1:18" s="52" customFormat="1" hidden="1">
      <c r="A9" s="54"/>
      <c r="B9" s="101">
        <v>151611321</v>
      </c>
      <c r="C9" s="54" t="s">
        <v>9</v>
      </c>
      <c r="D9" s="54">
        <v>10</v>
      </c>
      <c r="E9" s="54">
        <f>18960
+1706.4
+1706.4</f>
        <v>22372.800000000003</v>
      </c>
      <c r="F9" s="71" t="s">
        <v>100</v>
      </c>
      <c r="G9" s="71">
        <v>716663</v>
      </c>
      <c r="H9" s="71" t="s">
        <v>101</v>
      </c>
      <c r="I9" s="54">
        <v>10</v>
      </c>
      <c r="J9" s="54" t="s">
        <v>110</v>
      </c>
      <c r="K9" s="54">
        <v>10</v>
      </c>
      <c r="L9" s="54">
        <f t="shared" si="0"/>
        <v>0</v>
      </c>
      <c r="M9" s="75">
        <v>1896</v>
      </c>
      <c r="N9" s="54"/>
      <c r="O9" s="71" t="s">
        <v>111</v>
      </c>
      <c r="P9" s="54" t="s">
        <v>137</v>
      </c>
      <c r="Q9" s="54"/>
    </row>
    <row r="10" spans="1:18" s="52" customFormat="1" hidden="1">
      <c r="A10" s="54"/>
      <c r="B10" s="101">
        <v>151611321</v>
      </c>
      <c r="C10" s="54" t="s">
        <v>9</v>
      </c>
      <c r="D10" s="54">
        <v>20</v>
      </c>
      <c r="E10" s="54">
        <f>119880
 +10789.2+
 10789.2</f>
        <v>141458.4</v>
      </c>
      <c r="F10" s="55" t="s">
        <v>100</v>
      </c>
      <c r="G10" s="71">
        <v>716334</v>
      </c>
      <c r="H10" s="71" t="s">
        <v>102</v>
      </c>
      <c r="I10" s="54">
        <v>24</v>
      </c>
      <c r="J10" s="54" t="s">
        <v>110</v>
      </c>
      <c r="K10" s="54">
        <v>24</v>
      </c>
      <c r="L10" s="54">
        <f t="shared" si="0"/>
        <v>0</v>
      </c>
      <c r="M10" s="56">
        <v>4995</v>
      </c>
      <c r="N10" s="54"/>
      <c r="O10" s="71" t="s">
        <v>111</v>
      </c>
      <c r="P10" s="58">
        <v>45813</v>
      </c>
      <c r="Q10" s="54"/>
    </row>
    <row r="11" spans="1:18" s="52" customFormat="1" hidden="1">
      <c r="A11" s="54"/>
      <c r="B11" s="101">
        <v>151611321</v>
      </c>
      <c r="C11" s="54" t="s">
        <v>9</v>
      </c>
      <c r="D11" s="54">
        <v>30</v>
      </c>
      <c r="E11" s="54">
        <f>67800+
 6102
 +6102</f>
        <v>80004</v>
      </c>
      <c r="F11" s="55" t="s">
        <v>100</v>
      </c>
      <c r="G11" s="71">
        <v>695947</v>
      </c>
      <c r="H11" s="71" t="s">
        <v>17</v>
      </c>
      <c r="I11" s="54">
        <v>120</v>
      </c>
      <c r="J11" s="54" t="s">
        <v>110</v>
      </c>
      <c r="K11" s="54">
        <v>120</v>
      </c>
      <c r="L11" s="54">
        <f t="shared" si="0"/>
        <v>0</v>
      </c>
      <c r="M11" s="57">
        <v>565</v>
      </c>
      <c r="N11" s="54"/>
      <c r="O11" s="71" t="s">
        <v>112</v>
      </c>
      <c r="P11" s="58">
        <v>45813</v>
      </c>
      <c r="Q11" s="54"/>
    </row>
    <row r="12" spans="1:18" s="52" customFormat="1" hidden="1">
      <c r="A12" s="54"/>
      <c r="B12" s="101">
        <v>151611321</v>
      </c>
      <c r="C12" s="54" t="s">
        <v>9</v>
      </c>
      <c r="D12" s="54">
        <v>40</v>
      </c>
      <c r="E12" s="54">
        <f>64872+
 5838.48
 +5838</f>
        <v>76548.479999999996</v>
      </c>
      <c r="F12" s="55" t="s">
        <v>100</v>
      </c>
      <c r="G12" s="71">
        <v>687254</v>
      </c>
      <c r="H12" s="71" t="s">
        <v>103</v>
      </c>
      <c r="I12" s="54">
        <v>34</v>
      </c>
      <c r="J12" s="54" t="s">
        <v>110</v>
      </c>
      <c r="K12" s="54">
        <v>34</v>
      </c>
      <c r="L12" s="54">
        <f t="shared" si="0"/>
        <v>0</v>
      </c>
      <c r="M12" s="56">
        <v>1908</v>
      </c>
      <c r="N12" s="54"/>
      <c r="O12" s="71" t="s">
        <v>113</v>
      </c>
      <c r="P12" s="58">
        <v>45813</v>
      </c>
      <c r="Q12" s="54"/>
    </row>
    <row r="13" spans="1:18" s="52" customFormat="1" hidden="1">
      <c r="A13" s="54"/>
      <c r="B13" s="101">
        <v>151611321</v>
      </c>
      <c r="C13" s="54" t="s">
        <v>9</v>
      </c>
      <c r="D13" s="54">
        <v>50</v>
      </c>
      <c r="E13" s="54">
        <f>84540
 +7608.6
 +7608.6</f>
        <v>99757.200000000012</v>
      </c>
      <c r="F13" s="71" t="s">
        <v>100</v>
      </c>
      <c r="G13" s="71">
        <v>635656</v>
      </c>
      <c r="H13" s="71" t="s">
        <v>104</v>
      </c>
      <c r="I13" s="54">
        <v>30</v>
      </c>
      <c r="J13" s="54" t="s">
        <v>109</v>
      </c>
      <c r="K13" s="54">
        <v>30</v>
      </c>
      <c r="L13" s="54">
        <f t="shared" si="0"/>
        <v>0</v>
      </c>
      <c r="M13" s="75">
        <v>2818</v>
      </c>
      <c r="N13" s="54"/>
      <c r="O13" s="71" t="s">
        <v>113</v>
      </c>
      <c r="P13" s="54" t="s">
        <v>137</v>
      </c>
      <c r="Q13" s="54"/>
    </row>
    <row r="14" spans="1:18" s="52" customFormat="1" hidden="1">
      <c r="A14" s="54"/>
      <c r="B14" s="101">
        <v>151611321</v>
      </c>
      <c r="C14" s="54" t="s">
        <v>9</v>
      </c>
      <c r="D14" s="54">
        <v>60</v>
      </c>
      <c r="E14" s="54">
        <f>80960
 +7286.4
 +7286.4</f>
        <v>95532.799999999988</v>
      </c>
      <c r="F14" s="71" t="s">
        <v>100</v>
      </c>
      <c r="G14" s="71">
        <v>630059</v>
      </c>
      <c r="H14" s="71" t="s">
        <v>105</v>
      </c>
      <c r="I14" s="54">
        <v>20</v>
      </c>
      <c r="J14" s="54" t="s">
        <v>110</v>
      </c>
      <c r="K14" s="54">
        <f>11+9</f>
        <v>20</v>
      </c>
      <c r="L14" s="54">
        <f t="shared" si="0"/>
        <v>0</v>
      </c>
      <c r="M14" s="75">
        <v>4048</v>
      </c>
      <c r="N14" s="54"/>
      <c r="O14" s="71" t="s">
        <v>113</v>
      </c>
      <c r="P14" s="58">
        <v>45813</v>
      </c>
      <c r="Q14" s="54" t="s">
        <v>138</v>
      </c>
    </row>
    <row r="15" spans="1:18" s="87" customFormat="1">
      <c r="A15" s="85" t="s">
        <v>186</v>
      </c>
      <c r="B15" s="135">
        <v>151611321</v>
      </c>
      <c r="C15" s="85" t="s">
        <v>9</v>
      </c>
      <c r="D15" s="85">
        <v>70</v>
      </c>
      <c r="E15" s="136">
        <f>260840
 +23475.6
 +23475.6</f>
        <v>307791.19999999995</v>
      </c>
      <c r="F15" s="84" t="s">
        <v>100</v>
      </c>
      <c r="G15" s="84">
        <v>616039</v>
      </c>
      <c r="H15" s="84" t="s">
        <v>106</v>
      </c>
      <c r="I15" s="85">
        <v>40</v>
      </c>
      <c r="J15" s="85" t="s">
        <v>110</v>
      </c>
      <c r="K15" s="85">
        <f>1+8+4+12</f>
        <v>25</v>
      </c>
      <c r="L15" s="85">
        <f t="shared" si="0"/>
        <v>15</v>
      </c>
      <c r="M15" s="137">
        <v>6521</v>
      </c>
      <c r="N15" s="85" t="s">
        <v>164</v>
      </c>
      <c r="O15" s="84" t="s">
        <v>113</v>
      </c>
      <c r="P15" s="138">
        <v>45813</v>
      </c>
      <c r="Q15" s="86" t="s">
        <v>144</v>
      </c>
      <c r="R15" s="87" t="s">
        <v>165</v>
      </c>
    </row>
    <row r="16" spans="1:18" s="52" customFormat="1" hidden="1">
      <c r="A16" s="54"/>
      <c r="B16" s="101">
        <v>151611321</v>
      </c>
      <c r="C16" s="54" t="s">
        <v>9</v>
      </c>
      <c r="D16" s="54">
        <v>80</v>
      </c>
      <c r="E16" s="54">
        <f>196490
 +17684.1
 +17684.1</f>
        <v>231858.2</v>
      </c>
      <c r="F16" s="71" t="s">
        <v>100</v>
      </c>
      <c r="G16" s="71">
        <v>616026</v>
      </c>
      <c r="H16" s="71" t="s">
        <v>107</v>
      </c>
      <c r="I16" s="54">
        <v>35</v>
      </c>
      <c r="J16" s="54" t="s">
        <v>110</v>
      </c>
      <c r="K16" s="54">
        <f>1+14+5+15</f>
        <v>35</v>
      </c>
      <c r="L16" s="54">
        <f t="shared" si="0"/>
        <v>0</v>
      </c>
      <c r="M16" s="75">
        <v>5614</v>
      </c>
      <c r="N16" s="54">
        <v>15</v>
      </c>
      <c r="O16" s="71" t="s">
        <v>114</v>
      </c>
      <c r="P16" s="58">
        <v>45813</v>
      </c>
      <c r="Q16" s="80" t="s">
        <v>182</v>
      </c>
    </row>
    <row r="17" spans="1:17" s="52" customFormat="1" hidden="1">
      <c r="A17" s="54"/>
      <c r="B17" s="101">
        <v>151612151</v>
      </c>
      <c r="C17" s="54" t="s">
        <v>9</v>
      </c>
      <c r="D17" s="54">
        <v>10</v>
      </c>
      <c r="E17" s="54">
        <v>5876.4</v>
      </c>
      <c r="F17" s="55" t="s">
        <v>131</v>
      </c>
      <c r="G17" s="71">
        <v>724214</v>
      </c>
      <c r="H17" s="71" t="s">
        <v>21</v>
      </c>
      <c r="I17" s="54">
        <v>2</v>
      </c>
      <c r="J17" s="54" t="s">
        <v>110</v>
      </c>
      <c r="K17" s="54">
        <v>2</v>
      </c>
      <c r="L17" s="54">
        <f t="shared" si="0"/>
        <v>0</v>
      </c>
      <c r="M17" s="56"/>
      <c r="N17" s="54"/>
      <c r="O17" s="71"/>
      <c r="P17" s="58"/>
      <c r="Q17" s="54"/>
    </row>
    <row r="18" spans="1:17" s="52" customFormat="1" hidden="1">
      <c r="A18" s="54"/>
      <c r="B18" s="143">
        <v>151618200</v>
      </c>
      <c r="C18" s="54" t="s">
        <v>9</v>
      </c>
      <c r="D18" s="54">
        <v>10</v>
      </c>
      <c r="E18" s="144">
        <v>49088</v>
      </c>
      <c r="F18" s="54" t="s">
        <v>132</v>
      </c>
      <c r="G18" s="54">
        <v>780236</v>
      </c>
      <c r="H18" s="54" t="s">
        <v>93</v>
      </c>
      <c r="I18" s="54">
        <v>10</v>
      </c>
      <c r="J18" s="54" t="s">
        <v>110</v>
      </c>
      <c r="K18" s="54">
        <f>8+2</f>
        <v>10</v>
      </c>
      <c r="L18" s="54">
        <f t="shared" si="0"/>
        <v>0</v>
      </c>
      <c r="M18" s="54"/>
      <c r="N18" s="54"/>
      <c r="O18" s="54" t="s">
        <v>133</v>
      </c>
      <c r="P18" s="58">
        <v>45665</v>
      </c>
      <c r="Q18" s="80" t="s">
        <v>151</v>
      </c>
    </row>
    <row r="19" spans="1:17" s="52" customFormat="1" hidden="1">
      <c r="A19" s="54"/>
      <c r="B19" s="101">
        <v>151627175</v>
      </c>
      <c r="C19" s="54" t="s">
        <v>9</v>
      </c>
      <c r="D19" s="54">
        <v>10</v>
      </c>
      <c r="E19" s="54">
        <f>7584+
 682.56+
 682.56</f>
        <v>8949.119999999999</v>
      </c>
      <c r="F19" s="71" t="s">
        <v>139</v>
      </c>
      <c r="G19" s="71">
        <v>716663</v>
      </c>
      <c r="H19" s="71" t="s">
        <v>130</v>
      </c>
      <c r="I19" s="54">
        <v>4</v>
      </c>
      <c r="J19" s="54" t="s">
        <v>110</v>
      </c>
      <c r="K19" s="54">
        <v>4</v>
      </c>
      <c r="L19" s="54">
        <f t="shared" si="0"/>
        <v>0</v>
      </c>
      <c r="M19" s="75">
        <v>1896</v>
      </c>
      <c r="N19" s="54"/>
      <c r="O19" s="134" t="s">
        <v>140</v>
      </c>
      <c r="P19" s="54" t="s">
        <v>150</v>
      </c>
      <c r="Q19" s="80"/>
    </row>
    <row r="20" spans="1:17" s="52" customFormat="1" hidden="1">
      <c r="A20" s="54"/>
      <c r="B20" s="101">
        <v>151627175</v>
      </c>
      <c r="C20" s="54" t="s">
        <v>9</v>
      </c>
      <c r="D20" s="54">
        <v>20</v>
      </c>
      <c r="E20" s="54">
        <f>49950
 +4495.5
 +4495.5</f>
        <v>58941</v>
      </c>
      <c r="F20" s="71" t="s">
        <v>139</v>
      </c>
      <c r="G20" s="71">
        <v>716334</v>
      </c>
      <c r="H20" s="71" t="s">
        <v>102</v>
      </c>
      <c r="I20" s="54">
        <v>10</v>
      </c>
      <c r="J20" s="54" t="s">
        <v>110</v>
      </c>
      <c r="K20" s="54">
        <v>10</v>
      </c>
      <c r="L20" s="54">
        <f t="shared" si="0"/>
        <v>0</v>
      </c>
      <c r="M20" s="75">
        <v>4995</v>
      </c>
      <c r="N20" s="54"/>
      <c r="O20" s="134" t="s">
        <v>140</v>
      </c>
      <c r="P20" s="54" t="s">
        <v>145</v>
      </c>
      <c r="Q20" s="80"/>
    </row>
    <row r="21" spans="1:17" s="52" customFormat="1" hidden="1">
      <c r="A21" s="54"/>
      <c r="B21" s="101">
        <v>151627175</v>
      </c>
      <c r="C21" s="54" t="s">
        <v>9</v>
      </c>
      <c r="D21" s="54">
        <v>30</v>
      </c>
      <c r="E21" s="54">
        <f>62150
 +5593.5
 +5593.5</f>
        <v>73337</v>
      </c>
      <c r="F21" s="71" t="s">
        <v>139</v>
      </c>
      <c r="G21" s="71">
        <v>695947</v>
      </c>
      <c r="H21" s="71" t="s">
        <v>17</v>
      </c>
      <c r="I21" s="54">
        <v>110</v>
      </c>
      <c r="J21" s="54" t="s">
        <v>110</v>
      </c>
      <c r="K21" s="54">
        <v>110</v>
      </c>
      <c r="L21" s="54">
        <f t="shared" si="0"/>
        <v>0</v>
      </c>
      <c r="M21" s="71">
        <v>565</v>
      </c>
      <c r="N21" s="54"/>
      <c r="O21" s="134" t="s">
        <v>141</v>
      </c>
      <c r="P21" s="54" t="s">
        <v>145</v>
      </c>
      <c r="Q21" s="80"/>
    </row>
    <row r="22" spans="1:17" s="52" customFormat="1" hidden="1">
      <c r="A22" s="54"/>
      <c r="B22" s="101">
        <v>151627175</v>
      </c>
      <c r="C22" s="54" t="s">
        <v>9</v>
      </c>
      <c r="D22" s="54">
        <v>40</v>
      </c>
      <c r="E22" s="54">
        <f>95400
 +8586
 +8586</f>
        <v>112572</v>
      </c>
      <c r="F22" s="71" t="s">
        <v>139</v>
      </c>
      <c r="G22" s="71">
        <v>687254</v>
      </c>
      <c r="H22" s="71" t="s">
        <v>103</v>
      </c>
      <c r="I22" s="54">
        <v>50</v>
      </c>
      <c r="J22" s="54" t="s">
        <v>110</v>
      </c>
      <c r="K22" s="54">
        <v>50</v>
      </c>
      <c r="L22" s="54">
        <f t="shared" si="0"/>
        <v>0</v>
      </c>
      <c r="M22" s="75">
        <v>1908</v>
      </c>
      <c r="N22" s="54"/>
      <c r="O22" s="134" t="s">
        <v>142</v>
      </c>
      <c r="P22" s="54" t="s">
        <v>145</v>
      </c>
      <c r="Q22" s="80"/>
    </row>
    <row r="23" spans="1:17" s="52" customFormat="1" hidden="1">
      <c r="A23" s="54"/>
      <c r="B23" s="101">
        <v>151627175</v>
      </c>
      <c r="C23" s="54" t="s">
        <v>9</v>
      </c>
      <c r="D23" s="54">
        <v>50</v>
      </c>
      <c r="E23" s="54">
        <f>161920
 +14572.8
 +14572</f>
        <v>191064.8</v>
      </c>
      <c r="F23" s="71" t="s">
        <v>139</v>
      </c>
      <c r="G23" s="71">
        <v>630059</v>
      </c>
      <c r="H23" s="71" t="s">
        <v>105</v>
      </c>
      <c r="I23" s="54">
        <v>40</v>
      </c>
      <c r="J23" s="54" t="s">
        <v>110</v>
      </c>
      <c r="K23" s="54">
        <f>25+15</f>
        <v>40</v>
      </c>
      <c r="L23" s="54">
        <f t="shared" si="0"/>
        <v>0</v>
      </c>
      <c r="M23" s="75">
        <v>4048</v>
      </c>
      <c r="N23" s="54">
        <v>40</v>
      </c>
      <c r="O23" s="134" t="s">
        <v>142</v>
      </c>
      <c r="P23" s="54" t="s">
        <v>150</v>
      </c>
      <c r="Q23" s="117" t="s">
        <v>180</v>
      </c>
    </row>
    <row r="24" spans="1:17" s="52" customFormat="1" hidden="1">
      <c r="A24" s="54"/>
      <c r="B24" s="101">
        <v>151627175</v>
      </c>
      <c r="C24" s="54" t="s">
        <v>9</v>
      </c>
      <c r="D24" s="54">
        <v>60</v>
      </c>
      <c r="E24" s="54">
        <f>163025
 +14672.25
 +14672</f>
        <v>192369.25</v>
      </c>
      <c r="F24" s="71" t="s">
        <v>139</v>
      </c>
      <c r="G24" s="71">
        <v>616039</v>
      </c>
      <c r="H24" s="71" t="s">
        <v>106</v>
      </c>
      <c r="I24" s="54">
        <v>25</v>
      </c>
      <c r="J24" s="54" t="s">
        <v>110</v>
      </c>
      <c r="K24" s="54">
        <f>16+9</f>
        <v>25</v>
      </c>
      <c r="L24" s="54">
        <f t="shared" si="0"/>
        <v>0</v>
      </c>
      <c r="M24" s="118">
        <v>6521</v>
      </c>
      <c r="N24" s="110">
        <v>25</v>
      </c>
      <c r="O24" s="134" t="s">
        <v>142</v>
      </c>
      <c r="P24" s="110" t="s">
        <v>150</v>
      </c>
      <c r="Q24" s="117" t="s">
        <v>181</v>
      </c>
    </row>
    <row r="25" spans="1:17" s="69" customFormat="1" ht="14" customHeight="1">
      <c r="A25" s="66"/>
      <c r="B25" s="100">
        <v>151641682</v>
      </c>
      <c r="C25" s="66" t="s">
        <v>9</v>
      </c>
      <c r="D25" s="66">
        <v>10</v>
      </c>
      <c r="E25" s="127">
        <f>99990
+ 8999.1
+ 8999.1</f>
        <v>117988.20000000001</v>
      </c>
      <c r="F25" s="68" t="s">
        <v>155</v>
      </c>
      <c r="G25" s="68">
        <v>719381</v>
      </c>
      <c r="H25" s="68" t="s">
        <v>123</v>
      </c>
      <c r="I25" s="66">
        <v>10</v>
      </c>
      <c r="J25" s="66" t="s">
        <v>110</v>
      </c>
      <c r="K25" s="66"/>
      <c r="L25" s="66">
        <f t="shared" si="0"/>
        <v>10</v>
      </c>
      <c r="M25" s="66"/>
      <c r="N25" s="66"/>
      <c r="O25" s="68" t="s">
        <v>156</v>
      </c>
      <c r="P25" s="66"/>
      <c r="Q25" s="66"/>
    </row>
    <row r="26" spans="1:17" s="52" customFormat="1" hidden="1">
      <c r="A26" s="54" t="s">
        <v>171</v>
      </c>
      <c r="B26" s="101">
        <v>151641682</v>
      </c>
      <c r="C26" s="54" t="s">
        <v>9</v>
      </c>
      <c r="D26" s="54">
        <v>20</v>
      </c>
      <c r="E26" s="54">
        <f>56500
 +5085
 +5085</f>
        <v>66670</v>
      </c>
      <c r="F26" s="71" t="s">
        <v>155</v>
      </c>
      <c r="G26" s="71">
        <v>695947</v>
      </c>
      <c r="H26" s="71" t="s">
        <v>17</v>
      </c>
      <c r="I26" s="71">
        <v>100</v>
      </c>
      <c r="J26" s="54" t="s">
        <v>110</v>
      </c>
      <c r="K26" s="54">
        <v>100</v>
      </c>
      <c r="L26" s="54">
        <f t="shared" si="0"/>
        <v>0</v>
      </c>
      <c r="M26" s="54"/>
      <c r="N26" s="54"/>
      <c r="O26" s="71" t="s">
        <v>157</v>
      </c>
      <c r="P26" s="117">
        <v>45968</v>
      </c>
      <c r="Q26" s="54"/>
    </row>
    <row r="27" spans="1:17" s="12" customFormat="1">
      <c r="A27" s="120" t="s">
        <v>170</v>
      </c>
      <c r="B27" s="121">
        <v>151641682</v>
      </c>
      <c r="C27" s="120" t="s">
        <v>9</v>
      </c>
      <c r="D27" s="120">
        <v>30</v>
      </c>
      <c r="E27" s="128">
        <f>13230
+ 1190.7
 +1190.7</f>
        <v>15611.400000000001</v>
      </c>
      <c r="F27" s="122" t="s">
        <v>155</v>
      </c>
      <c r="G27" s="122">
        <v>663093</v>
      </c>
      <c r="H27" s="122" t="s">
        <v>158</v>
      </c>
      <c r="I27" s="122">
        <v>2</v>
      </c>
      <c r="J27" s="120" t="s">
        <v>110</v>
      </c>
      <c r="K27" s="120">
        <v>1</v>
      </c>
      <c r="L27" s="120">
        <f t="shared" si="0"/>
        <v>1</v>
      </c>
      <c r="M27" s="120"/>
      <c r="N27" s="120"/>
      <c r="O27" s="122" t="s">
        <v>161</v>
      </c>
      <c r="P27" s="120"/>
      <c r="Q27" s="120"/>
    </row>
    <row r="28" spans="1:17" s="69" customFormat="1">
      <c r="A28" s="66"/>
      <c r="B28" s="100">
        <v>151641682</v>
      </c>
      <c r="C28" s="66" t="s">
        <v>9</v>
      </c>
      <c r="D28" s="66">
        <v>40</v>
      </c>
      <c r="E28" s="125">
        <f xml:space="preserve"> 3360
+ 302.4
+ 302.4</f>
        <v>3964.8</v>
      </c>
      <c r="F28" s="68" t="s">
        <v>155</v>
      </c>
      <c r="G28" s="68">
        <v>649868</v>
      </c>
      <c r="H28" s="68" t="s">
        <v>159</v>
      </c>
      <c r="I28" s="68">
        <v>30</v>
      </c>
      <c r="J28" s="66" t="s">
        <v>110</v>
      </c>
      <c r="K28" s="66"/>
      <c r="L28" s="66">
        <f t="shared" si="0"/>
        <v>30</v>
      </c>
      <c r="M28" s="66"/>
      <c r="N28" s="66"/>
      <c r="O28" s="68" t="s">
        <v>160</v>
      </c>
      <c r="P28" s="66"/>
      <c r="Q28" s="66"/>
    </row>
    <row r="29" spans="1:17" s="12" customFormat="1">
      <c r="A29" s="120" t="s">
        <v>170</v>
      </c>
      <c r="B29" s="121">
        <v>151641682</v>
      </c>
      <c r="C29" s="120" t="s">
        <v>9</v>
      </c>
      <c r="D29" s="120">
        <v>50</v>
      </c>
      <c r="E29" s="128">
        <f>35550
 +3199.5
+ 3199.5</f>
        <v>41949</v>
      </c>
      <c r="F29" s="122" t="s">
        <v>155</v>
      </c>
      <c r="G29" s="122">
        <v>646872</v>
      </c>
      <c r="H29" s="122" t="s">
        <v>154</v>
      </c>
      <c r="I29" s="120">
        <v>10</v>
      </c>
      <c r="J29" s="120" t="s">
        <v>110</v>
      </c>
      <c r="K29" s="120">
        <v>7</v>
      </c>
      <c r="L29" s="120">
        <f t="shared" si="0"/>
        <v>3</v>
      </c>
      <c r="M29" s="120"/>
      <c r="N29" s="120"/>
      <c r="O29" s="122" t="s">
        <v>162</v>
      </c>
      <c r="P29" s="120"/>
      <c r="Q29" s="120"/>
    </row>
    <row r="30" spans="1:17" s="52" customFormat="1" hidden="1">
      <c r="A30" s="151" t="s">
        <v>172</v>
      </c>
      <c r="B30" s="101">
        <v>151641682</v>
      </c>
      <c r="C30" s="54" t="s">
        <v>9</v>
      </c>
      <c r="D30" s="54">
        <v>60</v>
      </c>
      <c r="E30" s="145">
        <f xml:space="preserve"> 84540
 +7608.6
 +7608.6</f>
        <v>99757.200000000012</v>
      </c>
      <c r="F30" s="71" t="s">
        <v>155</v>
      </c>
      <c r="G30" s="71">
        <v>635656</v>
      </c>
      <c r="H30" s="71" t="s">
        <v>104</v>
      </c>
      <c r="I30" s="54">
        <v>30</v>
      </c>
      <c r="J30" s="54" t="s">
        <v>110</v>
      </c>
      <c r="K30" s="54">
        <v>30</v>
      </c>
      <c r="L30" s="54">
        <f t="shared" si="0"/>
        <v>0</v>
      </c>
      <c r="M30" s="54"/>
      <c r="N30" s="54"/>
      <c r="O30" s="71" t="s">
        <v>160</v>
      </c>
      <c r="P30" s="58">
        <v>45665</v>
      </c>
      <c r="Q30" s="54"/>
    </row>
    <row r="31" spans="1:17" s="52" customFormat="1" hidden="1">
      <c r="A31" s="152"/>
      <c r="B31" s="101">
        <v>151641682</v>
      </c>
      <c r="C31" s="54" t="s">
        <v>9</v>
      </c>
      <c r="D31" s="54">
        <v>70</v>
      </c>
      <c r="E31" s="146">
        <f>141780
 +2760.2
+ 12760.2</f>
        <v>157300.40000000002</v>
      </c>
      <c r="F31" s="71" t="s">
        <v>155</v>
      </c>
      <c r="G31" s="71">
        <v>635655</v>
      </c>
      <c r="H31" s="71" t="s">
        <v>163</v>
      </c>
      <c r="I31" s="54">
        <v>30</v>
      </c>
      <c r="J31" s="54" t="s">
        <v>110</v>
      </c>
      <c r="K31" s="54">
        <v>30</v>
      </c>
      <c r="L31" s="54">
        <f t="shared" si="0"/>
        <v>0</v>
      </c>
      <c r="M31" s="54"/>
      <c r="N31" s="54"/>
      <c r="O31" s="71" t="s">
        <v>160</v>
      </c>
      <c r="P31" s="58">
        <v>45665</v>
      </c>
      <c r="Q31" s="54"/>
    </row>
    <row r="32" spans="1:17" s="12" customFormat="1">
      <c r="A32" s="149" t="s">
        <v>170</v>
      </c>
      <c r="B32" s="121">
        <v>151641682</v>
      </c>
      <c r="C32" s="120" t="s">
        <v>9</v>
      </c>
      <c r="D32" s="120">
        <v>80</v>
      </c>
      <c r="E32" s="129">
        <f>45904
+ 4131.36
 +4131.36</f>
        <v>54166.720000000001</v>
      </c>
      <c r="F32" s="122" t="s">
        <v>155</v>
      </c>
      <c r="G32" s="122">
        <v>632215</v>
      </c>
      <c r="H32" s="122" t="s">
        <v>31</v>
      </c>
      <c r="I32" s="120">
        <v>8</v>
      </c>
      <c r="J32" s="120" t="s">
        <v>110</v>
      </c>
      <c r="K32" s="120">
        <v>1</v>
      </c>
      <c r="L32" s="120">
        <f t="shared" si="0"/>
        <v>7</v>
      </c>
      <c r="M32" s="120"/>
      <c r="N32" s="120"/>
      <c r="O32" s="122" t="s">
        <v>160</v>
      </c>
      <c r="P32" s="120"/>
      <c r="Q32" s="120"/>
    </row>
    <row r="33" spans="1:17" s="52" customFormat="1">
      <c r="A33" s="150"/>
      <c r="B33" s="101">
        <v>151641682</v>
      </c>
      <c r="C33" s="54" t="s">
        <v>9</v>
      </c>
      <c r="D33" s="54">
        <v>90</v>
      </c>
      <c r="E33" s="146">
        <f>72982
+ 6568.38
 +6568.38</f>
        <v>86118.760000000009</v>
      </c>
      <c r="F33" s="71" t="s">
        <v>155</v>
      </c>
      <c r="G33" s="71">
        <v>616026</v>
      </c>
      <c r="H33" s="71" t="s">
        <v>127</v>
      </c>
      <c r="I33" s="54">
        <v>13</v>
      </c>
      <c r="J33" s="54" t="s">
        <v>110</v>
      </c>
      <c r="K33" s="54">
        <f>1+9+3</f>
        <v>13</v>
      </c>
      <c r="L33" s="54">
        <f t="shared" si="0"/>
        <v>0</v>
      </c>
      <c r="M33" s="54"/>
      <c r="N33" s="54"/>
      <c r="O33" s="71" t="s">
        <v>161</v>
      </c>
      <c r="P33" s="54"/>
      <c r="Q33" s="54"/>
    </row>
    <row r="34" spans="1:17" s="52" customFormat="1" hidden="1">
      <c r="A34" s="110"/>
      <c r="B34" s="140">
        <v>151639440</v>
      </c>
      <c r="C34" s="110" t="s">
        <v>9</v>
      </c>
      <c r="D34" s="110">
        <v>10</v>
      </c>
      <c r="E34" s="141">
        <v>66080</v>
      </c>
      <c r="F34" s="142" t="s">
        <v>173</v>
      </c>
      <c r="G34" s="142">
        <v>772264</v>
      </c>
      <c r="H34" s="142" t="s">
        <v>174</v>
      </c>
      <c r="I34" s="110">
        <v>50</v>
      </c>
      <c r="J34" s="110" t="s">
        <v>110</v>
      </c>
      <c r="K34" s="110">
        <v>50</v>
      </c>
      <c r="L34" s="110">
        <f t="shared" si="0"/>
        <v>0</v>
      </c>
      <c r="M34" s="110"/>
      <c r="N34" s="110"/>
      <c r="O34" s="142" t="s">
        <v>175</v>
      </c>
      <c r="P34" s="58">
        <v>45665</v>
      </c>
      <c r="Q34" s="110" t="s">
        <v>184</v>
      </c>
    </row>
    <row r="35" spans="1:17" s="71" customFormat="1" hidden="1">
      <c r="A35" s="71" t="s">
        <v>177</v>
      </c>
      <c r="B35" s="71">
        <v>151644665</v>
      </c>
      <c r="C35" s="71" t="s">
        <v>9</v>
      </c>
      <c r="D35" s="71">
        <v>10</v>
      </c>
      <c r="E35" s="75">
        <v>17629.2</v>
      </c>
      <c r="F35" s="71" t="s">
        <v>176</v>
      </c>
      <c r="G35" s="71">
        <v>724214</v>
      </c>
      <c r="H35" s="71" t="s">
        <v>21</v>
      </c>
      <c r="I35" s="71">
        <v>6</v>
      </c>
      <c r="J35" s="71" t="s">
        <v>110</v>
      </c>
      <c r="K35" s="71">
        <v>6</v>
      </c>
      <c r="L35" s="71">
        <f t="shared" si="0"/>
        <v>0</v>
      </c>
      <c r="O35" s="71" t="s">
        <v>179</v>
      </c>
      <c r="P35" s="117">
        <v>45968</v>
      </c>
    </row>
    <row r="36" spans="1:17" s="71" customFormat="1" hidden="1">
      <c r="A36" s="71" t="s">
        <v>177</v>
      </c>
      <c r="B36" s="71">
        <v>151644666</v>
      </c>
      <c r="C36" s="71" t="s">
        <v>9</v>
      </c>
      <c r="D36" s="71">
        <v>10</v>
      </c>
      <c r="E36" s="75">
        <v>11752.8</v>
      </c>
      <c r="F36" s="71" t="s">
        <v>178</v>
      </c>
      <c r="G36" s="71">
        <v>724214</v>
      </c>
      <c r="H36" s="71" t="s">
        <v>21</v>
      </c>
      <c r="I36" s="71">
        <v>4</v>
      </c>
      <c r="J36" s="71" t="s">
        <v>110</v>
      </c>
      <c r="K36" s="71">
        <v>4</v>
      </c>
      <c r="L36" s="71">
        <f t="shared" si="0"/>
        <v>0</v>
      </c>
      <c r="O36" s="71" t="s">
        <v>179</v>
      </c>
      <c r="P36" s="117">
        <v>45968</v>
      </c>
    </row>
    <row r="37" spans="1:17">
      <c r="A37" s="114"/>
      <c r="B37" s="115"/>
      <c r="C37" s="114"/>
      <c r="D37" s="114"/>
      <c r="E37" s="130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6"/>
    </row>
    <row r="38" spans="1:17">
      <c r="B38" s="106"/>
      <c r="C38" s="53"/>
      <c r="D38" s="53"/>
      <c r="E38" s="131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81"/>
    </row>
    <row r="39" spans="1:17">
      <c r="B39" s="106"/>
      <c r="C39" s="53"/>
      <c r="D39" s="53"/>
      <c r="E39" s="131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81"/>
    </row>
    <row r="40" spans="1:17">
      <c r="B40" s="106"/>
      <c r="C40" s="53"/>
      <c r="D40" s="53"/>
      <c r="E40" s="131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81"/>
    </row>
    <row r="41" spans="1:17">
      <c r="B41" s="106"/>
      <c r="C41" s="53"/>
      <c r="D41" s="53"/>
      <c r="E41" s="131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81"/>
    </row>
    <row r="42" spans="1:17">
      <c r="B42" s="106"/>
      <c r="C42" s="53"/>
      <c r="D42" s="53"/>
      <c r="E42" s="131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81"/>
    </row>
    <row r="43" spans="1:17">
      <c r="B43" s="106"/>
      <c r="C43" s="53"/>
      <c r="D43" s="53"/>
      <c r="E43" s="131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81"/>
    </row>
    <row r="44" spans="1:17">
      <c r="B44" s="106"/>
      <c r="C44" s="53"/>
      <c r="D44" s="53"/>
      <c r="E44" s="131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81"/>
    </row>
    <row r="45" spans="1:17">
      <c r="B45" s="106"/>
      <c r="C45" s="53"/>
      <c r="D45" s="53"/>
      <c r="E45" s="131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81"/>
    </row>
    <row r="46" spans="1:17">
      <c r="B46" s="106"/>
      <c r="C46" s="53"/>
      <c r="D46" s="53"/>
      <c r="E46" s="131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81"/>
    </row>
    <row r="47" spans="1:17">
      <c r="B47" s="106"/>
      <c r="C47" s="53"/>
      <c r="D47" s="53"/>
      <c r="E47" s="131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81"/>
    </row>
    <row r="48" spans="1:17">
      <c r="B48" s="106"/>
      <c r="C48" s="53"/>
      <c r="D48" s="53"/>
      <c r="E48" s="131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81"/>
    </row>
    <row r="49" spans="2:17">
      <c r="B49" s="106"/>
      <c r="C49" s="53"/>
      <c r="D49" s="53"/>
      <c r="E49" s="131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81"/>
    </row>
    <row r="50" spans="2:17">
      <c r="B50" s="106"/>
      <c r="C50" s="53"/>
      <c r="D50" s="53"/>
      <c r="E50" s="131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81"/>
    </row>
    <row r="51" spans="2:17">
      <c r="B51" s="106"/>
      <c r="C51" s="53"/>
      <c r="D51" s="53"/>
      <c r="E51" s="131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81"/>
    </row>
    <row r="52" spans="2:17">
      <c r="B52" s="106"/>
      <c r="C52" s="53"/>
      <c r="D52" s="53"/>
      <c r="E52" s="131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81"/>
    </row>
    <row r="53" spans="2:17">
      <c r="B53" s="106"/>
      <c r="C53" s="53"/>
      <c r="D53" s="53"/>
      <c r="E53" s="131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81"/>
    </row>
    <row r="54" spans="2:17">
      <c r="B54" s="106"/>
      <c r="C54" s="53"/>
      <c r="D54" s="53"/>
      <c r="E54" s="131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81"/>
    </row>
    <row r="55" spans="2:17">
      <c r="B55" s="106"/>
      <c r="C55" s="53"/>
      <c r="D55" s="53"/>
      <c r="E55" s="131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81"/>
    </row>
    <row r="56" spans="2:17">
      <c r="B56" s="106"/>
      <c r="C56" s="53"/>
      <c r="D56" s="53"/>
      <c r="E56" s="131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81"/>
    </row>
    <row r="57" spans="2:17">
      <c r="B57" s="106"/>
      <c r="C57" s="53"/>
      <c r="D57" s="53"/>
      <c r="E57" s="131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81"/>
    </row>
    <row r="58" spans="2:17">
      <c r="B58" s="106"/>
      <c r="C58" s="53"/>
      <c r="D58" s="53"/>
      <c r="E58" s="131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81"/>
    </row>
    <row r="59" spans="2:17">
      <c r="B59" s="106"/>
      <c r="C59" s="53"/>
      <c r="D59" s="53"/>
      <c r="E59" s="131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81"/>
    </row>
    <row r="60" spans="2:17">
      <c r="B60" s="106"/>
      <c r="C60" s="53"/>
      <c r="D60" s="53"/>
      <c r="E60" s="131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81"/>
    </row>
    <row r="61" spans="2:17">
      <c r="B61" s="106"/>
      <c r="C61" s="53"/>
      <c r="D61" s="53"/>
      <c r="E61" s="131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81"/>
    </row>
    <row r="62" spans="2:17">
      <c r="B62" s="106"/>
      <c r="C62" s="53"/>
      <c r="D62" s="53"/>
      <c r="E62" s="131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81"/>
    </row>
    <row r="63" spans="2:17">
      <c r="B63" s="106"/>
      <c r="C63" s="53"/>
      <c r="D63" s="53"/>
      <c r="E63" s="131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81"/>
    </row>
    <row r="64" spans="2:17">
      <c r="B64" s="106"/>
      <c r="C64" s="53"/>
      <c r="D64" s="53"/>
      <c r="E64" s="131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81"/>
    </row>
    <row r="65" spans="2:17">
      <c r="B65" s="106"/>
      <c r="C65" s="53"/>
      <c r="D65" s="53"/>
      <c r="E65" s="131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81"/>
    </row>
    <row r="66" spans="2:17">
      <c r="B66" s="106"/>
      <c r="C66" s="53"/>
      <c r="D66" s="53"/>
      <c r="E66" s="131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81"/>
    </row>
    <row r="67" spans="2:17">
      <c r="B67" s="106"/>
      <c r="C67" s="53"/>
      <c r="D67" s="53"/>
      <c r="E67" s="131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81"/>
    </row>
    <row r="68" spans="2:17">
      <c r="B68" s="106"/>
      <c r="C68" s="53"/>
      <c r="D68" s="53"/>
      <c r="E68" s="131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81"/>
    </row>
    <row r="69" spans="2:17">
      <c r="B69" s="106"/>
      <c r="C69" s="53"/>
      <c r="D69" s="53"/>
      <c r="E69" s="131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81"/>
    </row>
    <row r="70" spans="2:17">
      <c r="B70" s="106"/>
      <c r="C70" s="53"/>
      <c r="D70" s="53"/>
      <c r="E70" s="131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81"/>
    </row>
    <row r="71" spans="2:17">
      <c r="B71" s="106"/>
      <c r="C71" s="53"/>
      <c r="D71" s="53"/>
      <c r="E71" s="131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81"/>
    </row>
    <row r="72" spans="2:17">
      <c r="B72" s="106"/>
      <c r="C72" s="53"/>
      <c r="D72" s="53"/>
      <c r="E72" s="131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81"/>
    </row>
  </sheetData>
  <autoFilter ref="A1:R36" xr:uid="{DAE41BE2-0A2A-4152-9CA2-F27BC4CAFA81}">
    <filterColumn colId="11">
      <filters>
        <filter val="1"/>
        <filter val="10"/>
        <filter val="12"/>
        <filter val="15"/>
        <filter val="20"/>
        <filter val="30"/>
        <filter val="8"/>
      </filters>
    </filterColumn>
  </autoFilter>
  <mergeCells count="2">
    <mergeCell ref="A32:A33"/>
    <mergeCell ref="A30:A3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9931-D821-4C97-904B-BDB959C65693}">
  <dimension ref="A1:Q8"/>
  <sheetViews>
    <sheetView topLeftCell="E1" workbookViewId="0">
      <selection activeCell="B7" sqref="B7:O8"/>
    </sheetView>
  </sheetViews>
  <sheetFormatPr defaultRowHeight="14.5"/>
  <cols>
    <col min="2" max="2" width="11.6328125" bestFit="1" customWidth="1"/>
    <col min="5" max="5" width="9.81640625" bestFit="1" customWidth="1"/>
    <col min="6" max="6" width="10.81640625" customWidth="1"/>
    <col min="8" max="8" width="39" bestFit="1" customWidth="1"/>
    <col min="13" max="13" width="12.1796875" bestFit="1" customWidth="1"/>
    <col min="14" max="14" width="12.7265625" bestFit="1" customWidth="1"/>
  </cols>
  <sheetData>
    <row r="1" spans="1:17" s="2" customFormat="1" ht="52">
      <c r="B1" s="8" t="s">
        <v>0</v>
      </c>
      <c r="C1" s="9" t="s">
        <v>25</v>
      </c>
      <c r="D1" s="8" t="s">
        <v>1</v>
      </c>
      <c r="E1" s="10" t="s">
        <v>2</v>
      </c>
      <c r="F1" s="8" t="s">
        <v>3</v>
      </c>
      <c r="G1" s="11" t="s">
        <v>4</v>
      </c>
      <c r="H1" s="8" t="s">
        <v>5</v>
      </c>
      <c r="I1" s="8" t="s">
        <v>6</v>
      </c>
      <c r="J1" s="8" t="s">
        <v>7</v>
      </c>
      <c r="K1" s="8" t="s">
        <v>44</v>
      </c>
      <c r="L1" s="8" t="s">
        <v>8</v>
      </c>
      <c r="M1" s="8" t="s">
        <v>46</v>
      </c>
      <c r="N1" s="8" t="s">
        <v>45</v>
      </c>
      <c r="O1" s="2" t="s">
        <v>41</v>
      </c>
    </row>
    <row r="2" spans="1:17" s="64" customFormat="1" ht="15.5">
      <c r="B2" s="59">
        <v>151517683</v>
      </c>
      <c r="C2" s="60" t="s">
        <v>9</v>
      </c>
      <c r="D2" s="60">
        <v>70</v>
      </c>
      <c r="E2" s="61">
        <v>2643.2</v>
      </c>
      <c r="F2" s="59" t="s">
        <v>115</v>
      </c>
      <c r="G2" s="62">
        <v>649868</v>
      </c>
      <c r="H2" s="74" t="s">
        <v>14</v>
      </c>
      <c r="I2" s="60">
        <v>20</v>
      </c>
      <c r="J2" s="60" t="s">
        <v>110</v>
      </c>
      <c r="K2" s="60"/>
      <c r="L2" s="60">
        <v>0</v>
      </c>
      <c r="M2" s="60">
        <v>20</v>
      </c>
      <c r="N2" s="60"/>
      <c r="O2" s="63" t="s">
        <v>116</v>
      </c>
      <c r="P2" s="63"/>
      <c r="Q2" s="78"/>
    </row>
    <row r="3" spans="1:17" s="64" customFormat="1" ht="15.5">
      <c r="B3" s="59">
        <v>151525288</v>
      </c>
      <c r="C3" s="60" t="s">
        <v>9</v>
      </c>
      <c r="D3" s="60">
        <v>50</v>
      </c>
      <c r="E3" s="61">
        <v>1321.6</v>
      </c>
      <c r="F3" s="60" t="s">
        <v>117</v>
      </c>
      <c r="G3" s="62">
        <v>649868</v>
      </c>
      <c r="H3" s="60" t="s">
        <v>118</v>
      </c>
      <c r="I3" s="60">
        <v>10</v>
      </c>
      <c r="J3" s="60" t="s">
        <v>110</v>
      </c>
      <c r="K3" s="60"/>
      <c r="L3" s="60">
        <v>0</v>
      </c>
      <c r="M3" s="60">
        <v>10</v>
      </c>
      <c r="N3" s="60"/>
      <c r="O3" s="63" t="s">
        <v>119</v>
      </c>
      <c r="P3" s="63"/>
      <c r="Q3" s="78"/>
    </row>
    <row r="4" spans="1:17" s="69" customFormat="1">
      <c r="B4" s="65">
        <v>151562990</v>
      </c>
      <c r="C4" s="66" t="s">
        <v>9</v>
      </c>
      <c r="D4" s="66">
        <v>10</v>
      </c>
      <c r="E4" s="67">
        <v>53100</v>
      </c>
      <c r="F4" s="68" t="s">
        <v>120</v>
      </c>
      <c r="G4" s="68">
        <v>719031</v>
      </c>
      <c r="H4" s="68" t="s">
        <v>19</v>
      </c>
      <c r="I4" s="66">
        <v>1</v>
      </c>
      <c r="J4" s="66" t="s">
        <v>110</v>
      </c>
      <c r="K4" s="66"/>
      <c r="L4" s="66">
        <v>0</v>
      </c>
      <c r="M4" s="66">
        <v>1</v>
      </c>
      <c r="N4" s="66"/>
      <c r="O4" s="68" t="s">
        <v>121</v>
      </c>
      <c r="P4" s="66"/>
      <c r="Q4" s="79"/>
    </row>
    <row r="5" spans="1:17" s="69" customFormat="1">
      <c r="B5" s="68">
        <v>151566200</v>
      </c>
      <c r="C5" s="66" t="s">
        <v>9</v>
      </c>
      <c r="D5" s="66">
        <v>10</v>
      </c>
      <c r="E5" s="66">
        <v>176982.3</v>
      </c>
      <c r="F5" s="68" t="s">
        <v>122</v>
      </c>
      <c r="G5" s="68">
        <v>719381</v>
      </c>
      <c r="H5" s="68" t="s">
        <v>123</v>
      </c>
      <c r="I5" s="66">
        <v>15</v>
      </c>
      <c r="J5" s="66" t="s">
        <v>110</v>
      </c>
      <c r="K5" s="66"/>
      <c r="L5" s="66">
        <v>0</v>
      </c>
      <c r="M5" s="66">
        <v>15</v>
      </c>
      <c r="N5" s="66"/>
      <c r="O5" s="68" t="s">
        <v>124</v>
      </c>
      <c r="P5" s="66"/>
      <c r="Q5" s="79" t="s">
        <v>125</v>
      </c>
    </row>
    <row r="6" spans="1:17" s="69" customFormat="1">
      <c r="B6" s="66">
        <v>151575274</v>
      </c>
      <c r="C6" s="66" t="s">
        <v>9</v>
      </c>
      <c r="D6" s="66">
        <v>10</v>
      </c>
      <c r="E6" s="70">
        <v>176982.3</v>
      </c>
      <c r="F6" s="66" t="s">
        <v>128</v>
      </c>
      <c r="G6" s="66">
        <v>719381</v>
      </c>
      <c r="H6" s="66" t="s">
        <v>38</v>
      </c>
      <c r="I6" s="66">
        <v>15</v>
      </c>
      <c r="J6" s="66" t="s">
        <v>110</v>
      </c>
      <c r="K6" s="66"/>
      <c r="L6" s="66"/>
      <c r="M6" s="66">
        <v>15</v>
      </c>
      <c r="N6" s="66"/>
      <c r="O6" s="66" t="s">
        <v>129</v>
      </c>
      <c r="P6" s="66"/>
      <c r="Q6" s="79"/>
    </row>
    <row r="7" spans="1:17" s="7" customFormat="1">
      <c r="A7" s="50"/>
      <c r="B7" s="105">
        <v>151641682</v>
      </c>
      <c r="C7" s="50" t="s">
        <v>9</v>
      </c>
      <c r="D7" s="50">
        <v>10</v>
      </c>
      <c r="E7" s="89">
        <f>99990
+ 8999.1
+ 8999.1</f>
        <v>117988.20000000001</v>
      </c>
      <c r="F7" s="89" t="s">
        <v>155</v>
      </c>
      <c r="G7" s="89">
        <v>719381</v>
      </c>
      <c r="H7" s="89" t="s">
        <v>123</v>
      </c>
      <c r="I7" s="50">
        <v>10</v>
      </c>
      <c r="J7" s="50" t="s">
        <v>110</v>
      </c>
      <c r="K7" s="50"/>
      <c r="L7" s="50"/>
      <c r="M7" s="50"/>
      <c r="N7" s="50"/>
      <c r="O7" s="90" t="s">
        <v>156</v>
      </c>
      <c r="P7" s="50"/>
      <c r="Q7" s="50"/>
    </row>
    <row r="8" spans="1:17" s="7" customFormat="1">
      <c r="A8" s="50"/>
      <c r="B8" s="105">
        <v>151641682</v>
      </c>
      <c r="C8" s="50" t="s">
        <v>9</v>
      </c>
      <c r="D8" s="50">
        <v>40</v>
      </c>
      <c r="E8" s="50">
        <f xml:space="preserve"> 3360
+ 302.4
+ 302.4</f>
        <v>3964.8</v>
      </c>
      <c r="F8" s="89" t="s">
        <v>155</v>
      </c>
      <c r="G8" s="89">
        <v>649868</v>
      </c>
      <c r="H8" s="89" t="s">
        <v>159</v>
      </c>
      <c r="I8" s="89">
        <v>30</v>
      </c>
      <c r="J8" s="50" t="s">
        <v>110</v>
      </c>
      <c r="K8" s="50"/>
      <c r="L8" s="50"/>
      <c r="M8" s="50"/>
      <c r="N8" s="50"/>
      <c r="O8" s="90" t="s">
        <v>160</v>
      </c>
      <c r="P8" s="50"/>
      <c r="Q8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4011-210F-4EC8-945D-D46C5CEEF317}">
  <dimension ref="A1:R25"/>
  <sheetViews>
    <sheetView topLeftCell="A7" workbookViewId="0">
      <pane xSplit="1" topLeftCell="B1" activePane="topRight" state="frozen"/>
      <selection activeCell="A4" sqref="A4"/>
      <selection pane="topRight" activeCell="H13" sqref="H1:H1048576"/>
    </sheetView>
  </sheetViews>
  <sheetFormatPr defaultRowHeight="14.5"/>
  <cols>
    <col min="1" max="2" width="11.6328125" style="6" bestFit="1" customWidth="1"/>
    <col min="3" max="3" width="8.7265625" style="6"/>
    <col min="4" max="4" width="12" style="6" bestFit="1" customWidth="1"/>
    <col min="5" max="5" width="11.7265625" style="6" bestFit="1" customWidth="1"/>
    <col min="6" max="6" width="9.90625" style="6" bestFit="1" customWidth="1"/>
    <col min="7" max="7" width="12.26953125" style="6" customWidth="1"/>
    <col min="8" max="8" width="18.08984375" style="6" customWidth="1"/>
    <col min="9" max="9" width="8.7265625" style="6"/>
    <col min="10" max="10" width="10.54296875" style="12" bestFit="1" customWidth="1"/>
    <col min="11" max="11" width="21.08984375" style="13" bestFit="1" customWidth="1"/>
    <col min="12" max="16384" width="8.7265625" style="6"/>
  </cols>
  <sheetData>
    <row r="1" spans="1:18" ht="21.5" thickBot="1">
      <c r="A1" s="15" t="s">
        <v>11</v>
      </c>
      <c r="F1" s="153" t="s">
        <v>94</v>
      </c>
      <c r="G1" s="153"/>
      <c r="H1" s="153"/>
      <c r="I1" s="153"/>
      <c r="J1" s="153"/>
      <c r="K1" s="153"/>
    </row>
    <row r="2" spans="1:18" s="2" customFormat="1" ht="52">
      <c r="A2" s="108" t="s">
        <v>167</v>
      </c>
      <c r="B2" s="1" t="s">
        <v>0</v>
      </c>
      <c r="C2" s="4" t="s">
        <v>25</v>
      </c>
      <c r="D2" s="1" t="s">
        <v>1</v>
      </c>
      <c r="E2" s="5" t="s">
        <v>2</v>
      </c>
      <c r="F2" s="1" t="s">
        <v>3</v>
      </c>
      <c r="G2" s="73" t="s">
        <v>4</v>
      </c>
      <c r="H2" s="1" t="s">
        <v>5</v>
      </c>
      <c r="I2" s="1" t="s">
        <v>6</v>
      </c>
      <c r="J2" s="1" t="s">
        <v>7</v>
      </c>
      <c r="K2" s="1" t="s">
        <v>44</v>
      </c>
      <c r="L2" s="1" t="s">
        <v>8</v>
      </c>
      <c r="M2" s="1" t="s">
        <v>47</v>
      </c>
      <c r="N2" s="2" t="s">
        <v>147</v>
      </c>
      <c r="O2" s="2" t="s">
        <v>166</v>
      </c>
    </row>
    <row r="3" spans="1:18" s="87" customFormat="1">
      <c r="A3" s="154" t="s">
        <v>168</v>
      </c>
      <c r="B3" s="84">
        <v>151642309</v>
      </c>
      <c r="C3" s="85" t="s">
        <v>11</v>
      </c>
      <c r="D3" s="84">
        <v>10</v>
      </c>
      <c r="E3" s="85">
        <f>65210
 +5868.9
+ 5868.9</f>
        <v>76947.799999999988</v>
      </c>
      <c r="F3" s="84" t="s">
        <v>152</v>
      </c>
      <c r="G3" s="84">
        <v>616039</v>
      </c>
      <c r="H3" s="84" t="s">
        <v>106</v>
      </c>
      <c r="I3" s="85">
        <v>10</v>
      </c>
      <c r="J3" s="85" t="s">
        <v>110</v>
      </c>
      <c r="K3" s="85">
        <v>5</v>
      </c>
      <c r="L3" s="85">
        <f>I3-K3</f>
        <v>5</v>
      </c>
      <c r="M3" s="84" t="s">
        <v>153</v>
      </c>
      <c r="N3" s="85"/>
      <c r="O3" s="87" t="s">
        <v>169</v>
      </c>
    </row>
    <row r="4" spans="1:18">
      <c r="A4" s="154"/>
      <c r="B4" s="89">
        <v>151642309</v>
      </c>
      <c r="C4" s="50" t="s">
        <v>11</v>
      </c>
      <c r="D4" s="53">
        <v>20</v>
      </c>
      <c r="E4" s="53">
        <f>35550
+ 3199.5
 +3199.5</f>
        <v>41949</v>
      </c>
      <c r="F4" s="89" t="s">
        <v>152</v>
      </c>
      <c r="G4" s="91">
        <v>646872</v>
      </c>
      <c r="H4" s="91" t="s">
        <v>154</v>
      </c>
      <c r="I4" s="53">
        <v>10</v>
      </c>
      <c r="J4" s="50" t="s">
        <v>110</v>
      </c>
      <c r="K4" s="53"/>
      <c r="L4" s="50">
        <f>I4-K4</f>
        <v>10</v>
      </c>
      <c r="M4" s="89" t="s">
        <v>153</v>
      </c>
      <c r="N4" s="53"/>
    </row>
    <row r="5" spans="1:18">
      <c r="A5" s="154"/>
      <c r="B5" s="89">
        <v>151642309</v>
      </c>
      <c r="C5" s="50" t="s">
        <v>11</v>
      </c>
      <c r="D5" s="53">
        <v>30</v>
      </c>
      <c r="E5" s="53">
        <f>57380
+ 5164.2
+ 5164.2</f>
        <v>67708.399999999994</v>
      </c>
      <c r="F5" s="89" t="s">
        <v>152</v>
      </c>
      <c r="G5" s="91">
        <v>632215</v>
      </c>
      <c r="H5" s="91" t="s">
        <v>31</v>
      </c>
      <c r="I5" s="53">
        <v>10</v>
      </c>
      <c r="J5" s="50" t="s">
        <v>110</v>
      </c>
      <c r="K5" s="53"/>
      <c r="L5" s="50">
        <f>I5-K5</f>
        <v>10</v>
      </c>
      <c r="M5" s="89" t="s">
        <v>153</v>
      </c>
      <c r="N5" s="53"/>
    </row>
    <row r="6" spans="1:18" s="7" customFormat="1">
      <c r="B6" s="3"/>
      <c r="C6" s="3"/>
      <c r="I6" s="3"/>
      <c r="J6" s="12"/>
    </row>
    <row r="7" spans="1:18" s="7" customFormat="1" ht="15" thickBot="1">
      <c r="B7" s="3"/>
      <c r="C7" s="3"/>
      <c r="I7" s="3"/>
      <c r="J7" s="12"/>
    </row>
    <row r="8" spans="1:18" ht="19" thickBot="1">
      <c r="A8" s="15" t="s">
        <v>9</v>
      </c>
      <c r="G8" s="30" t="s">
        <v>94</v>
      </c>
    </row>
    <row r="9" spans="1:18" s="2" customFormat="1" ht="52">
      <c r="A9" s="109" t="s">
        <v>167</v>
      </c>
      <c r="B9" s="98" t="s">
        <v>0</v>
      </c>
      <c r="C9" s="9" t="s">
        <v>25</v>
      </c>
      <c r="D9" s="8" t="s">
        <v>1</v>
      </c>
      <c r="E9" s="10" t="s">
        <v>2</v>
      </c>
      <c r="F9" s="8" t="s">
        <v>3</v>
      </c>
      <c r="G9" s="11" t="s">
        <v>4</v>
      </c>
      <c r="H9" s="8" t="s">
        <v>5</v>
      </c>
      <c r="I9" s="8" t="s">
        <v>6</v>
      </c>
      <c r="J9" s="8" t="s">
        <v>7</v>
      </c>
      <c r="K9" s="8" t="s">
        <v>44</v>
      </c>
      <c r="L9" s="8" t="s">
        <v>8</v>
      </c>
      <c r="M9" s="8" t="s">
        <v>108</v>
      </c>
      <c r="N9" s="8" t="s">
        <v>143</v>
      </c>
      <c r="O9" s="8" t="s">
        <v>46</v>
      </c>
      <c r="P9" s="8" t="s">
        <v>45</v>
      </c>
      <c r="Q9" s="77" t="s">
        <v>41</v>
      </c>
    </row>
    <row r="10" spans="1:18" s="64" customFormat="1" ht="15.5">
      <c r="A10" s="107"/>
      <c r="B10" s="99">
        <v>151517683</v>
      </c>
      <c r="C10" s="60" t="s">
        <v>9</v>
      </c>
      <c r="D10" s="60">
        <v>70</v>
      </c>
      <c r="E10" s="61">
        <v>2643.2</v>
      </c>
      <c r="F10" s="59" t="s">
        <v>115</v>
      </c>
      <c r="G10" s="62">
        <v>649868</v>
      </c>
      <c r="H10" s="74" t="s">
        <v>14</v>
      </c>
      <c r="I10" s="60">
        <v>20</v>
      </c>
      <c r="J10" s="60" t="s">
        <v>110</v>
      </c>
      <c r="K10" s="60">
        <v>0</v>
      </c>
      <c r="L10" s="60">
        <v>20</v>
      </c>
      <c r="M10" s="60"/>
      <c r="N10" s="60"/>
      <c r="O10" s="63" t="s">
        <v>116</v>
      </c>
      <c r="P10" s="63"/>
      <c r="Q10" s="78"/>
    </row>
    <row r="11" spans="1:18" s="64" customFormat="1" ht="25">
      <c r="A11" s="60"/>
      <c r="B11" s="99">
        <v>151525288</v>
      </c>
      <c r="C11" s="60" t="s">
        <v>9</v>
      </c>
      <c r="D11" s="60">
        <v>50</v>
      </c>
      <c r="E11" s="61">
        <v>1321.6</v>
      </c>
      <c r="F11" s="60" t="s">
        <v>117</v>
      </c>
      <c r="G11" s="62">
        <v>649868</v>
      </c>
      <c r="H11" s="60" t="s">
        <v>118</v>
      </c>
      <c r="I11" s="60">
        <v>10</v>
      </c>
      <c r="J11" s="60" t="s">
        <v>110</v>
      </c>
      <c r="K11" s="60">
        <v>0</v>
      </c>
      <c r="L11" s="60">
        <v>10</v>
      </c>
      <c r="M11" s="60"/>
      <c r="N11" s="60"/>
      <c r="O11" s="63" t="s">
        <v>119</v>
      </c>
      <c r="P11" s="63"/>
      <c r="Q11" s="78"/>
    </row>
    <row r="12" spans="1:18" s="69" customFormat="1">
      <c r="A12" s="66"/>
      <c r="B12" s="65">
        <v>151562990</v>
      </c>
      <c r="C12" s="66" t="s">
        <v>9</v>
      </c>
      <c r="D12" s="66">
        <v>10</v>
      </c>
      <c r="E12" s="67">
        <v>53100</v>
      </c>
      <c r="F12" s="68" t="s">
        <v>120</v>
      </c>
      <c r="G12" s="68">
        <v>719031</v>
      </c>
      <c r="H12" s="68" t="s">
        <v>19</v>
      </c>
      <c r="I12" s="66">
        <v>1</v>
      </c>
      <c r="J12" s="66" t="s">
        <v>110</v>
      </c>
      <c r="K12" s="66">
        <v>0</v>
      </c>
      <c r="L12" s="66">
        <v>1</v>
      </c>
      <c r="M12" s="66"/>
      <c r="N12" s="66"/>
      <c r="O12" s="68" t="s">
        <v>121</v>
      </c>
      <c r="P12" s="66"/>
      <c r="Q12" s="79"/>
    </row>
    <row r="13" spans="1:18" s="69" customFormat="1">
      <c r="A13" s="66"/>
      <c r="B13" s="100">
        <v>151566200</v>
      </c>
      <c r="C13" s="66" t="s">
        <v>9</v>
      </c>
      <c r="D13" s="66">
        <v>10</v>
      </c>
      <c r="E13" s="66">
        <v>176982.3</v>
      </c>
      <c r="F13" s="68" t="s">
        <v>122</v>
      </c>
      <c r="G13" s="68">
        <v>719381</v>
      </c>
      <c r="H13" s="68" t="s">
        <v>123</v>
      </c>
      <c r="I13" s="66">
        <v>15</v>
      </c>
      <c r="J13" s="66" t="s">
        <v>110</v>
      </c>
      <c r="K13" s="66">
        <v>0</v>
      </c>
      <c r="L13" s="66">
        <v>15</v>
      </c>
      <c r="M13" s="66"/>
      <c r="N13" s="66"/>
      <c r="O13" s="68" t="s">
        <v>124</v>
      </c>
      <c r="P13" s="66"/>
      <c r="Q13" s="79" t="s">
        <v>125</v>
      </c>
    </row>
    <row r="14" spans="1:18" s="69" customFormat="1">
      <c r="A14" s="66"/>
      <c r="B14" s="102">
        <v>151575274</v>
      </c>
      <c r="C14" s="66" t="s">
        <v>9</v>
      </c>
      <c r="D14" s="66">
        <v>10</v>
      </c>
      <c r="E14" s="70">
        <v>176982.3</v>
      </c>
      <c r="F14" s="66" t="s">
        <v>128</v>
      </c>
      <c r="G14" s="66">
        <v>719381</v>
      </c>
      <c r="H14" s="66" t="s">
        <v>38</v>
      </c>
      <c r="I14" s="66">
        <v>15</v>
      </c>
      <c r="J14" s="66" t="s">
        <v>110</v>
      </c>
      <c r="K14" s="66"/>
      <c r="L14" s="66">
        <v>15</v>
      </c>
      <c r="M14" s="66"/>
      <c r="N14" s="66"/>
      <c r="O14" s="66" t="s">
        <v>129</v>
      </c>
      <c r="P14" s="66"/>
      <c r="Q14" s="79"/>
    </row>
    <row r="15" spans="1:18" s="97" customFormat="1">
      <c r="A15" s="93"/>
      <c r="B15" s="103">
        <v>151611321</v>
      </c>
      <c r="C15" s="93" t="s">
        <v>9</v>
      </c>
      <c r="D15" s="93">
        <v>70</v>
      </c>
      <c r="E15" s="93">
        <v>307791.19999999995</v>
      </c>
      <c r="F15" s="92" t="s">
        <v>100</v>
      </c>
      <c r="G15" s="92">
        <v>616039</v>
      </c>
      <c r="H15" s="92" t="s">
        <v>106</v>
      </c>
      <c r="I15" s="93">
        <v>40</v>
      </c>
      <c r="J15" s="93" t="s">
        <v>110</v>
      </c>
      <c r="K15" s="93">
        <v>25</v>
      </c>
      <c r="L15" s="93">
        <v>15</v>
      </c>
      <c r="M15" s="94">
        <v>6521</v>
      </c>
      <c r="N15" s="93" t="s">
        <v>164</v>
      </c>
      <c r="O15" s="92" t="s">
        <v>113</v>
      </c>
      <c r="P15" s="95">
        <v>45813</v>
      </c>
      <c r="Q15" s="96" t="s">
        <v>144</v>
      </c>
      <c r="R15" s="87" t="s">
        <v>165</v>
      </c>
    </row>
    <row r="16" spans="1:18" s="87" customFormat="1">
      <c r="A16" s="85"/>
      <c r="B16" s="104">
        <v>151618200</v>
      </c>
      <c r="C16" s="85" t="s">
        <v>9</v>
      </c>
      <c r="D16" s="85">
        <v>10</v>
      </c>
      <c r="E16" s="88">
        <v>49088</v>
      </c>
      <c r="F16" s="85" t="s">
        <v>132</v>
      </c>
      <c r="G16" s="85">
        <v>780236</v>
      </c>
      <c r="H16" s="85" t="s">
        <v>93</v>
      </c>
      <c r="I16" s="85">
        <v>10</v>
      </c>
      <c r="J16" s="85" t="s">
        <v>110</v>
      </c>
      <c r="K16" s="85">
        <v>8</v>
      </c>
      <c r="L16" s="85">
        <v>2</v>
      </c>
      <c r="M16" s="85"/>
      <c r="N16" s="85"/>
      <c r="O16" s="85" t="s">
        <v>133</v>
      </c>
      <c r="P16" s="85"/>
      <c r="Q16" s="86" t="s">
        <v>151</v>
      </c>
    </row>
    <row r="17" spans="1:17" s="69" customFormat="1" ht="14" customHeight="1">
      <c r="A17" s="66"/>
      <c r="B17" s="100">
        <v>151641682</v>
      </c>
      <c r="C17" s="66" t="s">
        <v>9</v>
      </c>
      <c r="D17" s="66">
        <v>10</v>
      </c>
      <c r="E17" s="68">
        <v>117988.20000000001</v>
      </c>
      <c r="F17" s="68" t="s">
        <v>155</v>
      </c>
      <c r="G17" s="68">
        <v>719381</v>
      </c>
      <c r="H17" s="68" t="s">
        <v>123</v>
      </c>
      <c r="I17" s="66">
        <v>10</v>
      </c>
      <c r="J17" s="66" t="s">
        <v>110</v>
      </c>
      <c r="K17" s="66"/>
      <c r="L17" s="66">
        <v>10</v>
      </c>
      <c r="M17" s="66"/>
      <c r="N17" s="66"/>
      <c r="O17" s="68" t="s">
        <v>156</v>
      </c>
      <c r="P17" s="66"/>
      <c r="Q17" s="66"/>
    </row>
    <row r="18" spans="1:17" s="7" customFormat="1">
      <c r="A18" s="50" t="s">
        <v>170</v>
      </c>
      <c r="B18" s="105">
        <v>151641682</v>
      </c>
      <c r="C18" s="50" t="s">
        <v>9</v>
      </c>
      <c r="D18" s="50">
        <v>30</v>
      </c>
      <c r="E18" s="89">
        <v>15611.400000000001</v>
      </c>
      <c r="F18" s="89" t="s">
        <v>155</v>
      </c>
      <c r="G18" s="89">
        <v>663093</v>
      </c>
      <c r="H18" s="89" t="s">
        <v>158</v>
      </c>
      <c r="I18" s="89">
        <v>2</v>
      </c>
      <c r="J18" s="50" t="s">
        <v>110</v>
      </c>
      <c r="K18" s="50"/>
      <c r="L18" s="50">
        <v>2</v>
      </c>
      <c r="M18" s="50"/>
      <c r="N18" s="50"/>
      <c r="O18" s="89" t="s">
        <v>161</v>
      </c>
      <c r="P18" s="50"/>
      <c r="Q18" s="50"/>
    </row>
    <row r="19" spans="1:17" s="69" customFormat="1">
      <c r="A19" s="66"/>
      <c r="B19" s="100">
        <v>151641682</v>
      </c>
      <c r="C19" s="66" t="s">
        <v>9</v>
      </c>
      <c r="D19" s="66">
        <v>40</v>
      </c>
      <c r="E19" s="66">
        <v>3964.8</v>
      </c>
      <c r="F19" s="68" t="s">
        <v>155</v>
      </c>
      <c r="G19" s="68">
        <v>649868</v>
      </c>
      <c r="H19" s="68" t="s">
        <v>159</v>
      </c>
      <c r="I19" s="68">
        <v>30</v>
      </c>
      <c r="J19" s="66" t="s">
        <v>110</v>
      </c>
      <c r="K19" s="66"/>
      <c r="L19" s="66">
        <v>30</v>
      </c>
      <c r="M19" s="66"/>
      <c r="N19" s="66"/>
      <c r="O19" s="68" t="s">
        <v>160</v>
      </c>
      <c r="P19" s="66"/>
      <c r="Q19" s="66"/>
    </row>
    <row r="20" spans="1:17" s="7" customFormat="1">
      <c r="A20" s="50" t="s">
        <v>170</v>
      </c>
      <c r="B20" s="105">
        <v>151641682</v>
      </c>
      <c r="C20" s="50" t="s">
        <v>9</v>
      </c>
      <c r="D20" s="50">
        <v>50</v>
      </c>
      <c r="E20" s="89">
        <v>41949</v>
      </c>
      <c r="F20" s="89" t="s">
        <v>155</v>
      </c>
      <c r="G20" s="89">
        <v>646872</v>
      </c>
      <c r="H20" s="89" t="s">
        <v>154</v>
      </c>
      <c r="I20" s="50">
        <v>10</v>
      </c>
      <c r="J20" s="50" t="s">
        <v>110</v>
      </c>
      <c r="K20" s="50"/>
      <c r="L20" s="50">
        <v>10</v>
      </c>
      <c r="M20" s="50"/>
      <c r="N20" s="50"/>
      <c r="O20" s="89" t="s">
        <v>162</v>
      </c>
      <c r="P20" s="50"/>
      <c r="Q20" s="50"/>
    </row>
    <row r="21" spans="1:17" s="7" customFormat="1">
      <c r="A21" s="155" t="s">
        <v>172</v>
      </c>
      <c r="B21" s="105">
        <v>151641682</v>
      </c>
      <c r="C21" s="50" t="s">
        <v>9</v>
      </c>
      <c r="D21" s="50">
        <v>60</v>
      </c>
      <c r="E21" s="89">
        <v>99757.200000000012</v>
      </c>
      <c r="F21" s="89" t="s">
        <v>155</v>
      </c>
      <c r="G21" s="89">
        <v>635656</v>
      </c>
      <c r="H21" s="89" t="s">
        <v>104</v>
      </c>
      <c r="I21" s="50">
        <v>30</v>
      </c>
      <c r="J21" s="50" t="s">
        <v>110</v>
      </c>
      <c r="K21" s="50"/>
      <c r="L21" s="50">
        <v>30</v>
      </c>
      <c r="M21" s="50"/>
      <c r="N21" s="50"/>
      <c r="O21" s="89" t="s">
        <v>160</v>
      </c>
      <c r="P21" s="50"/>
      <c r="Q21" s="50"/>
    </row>
    <row r="22" spans="1:17" s="7" customFormat="1">
      <c r="A22" s="156"/>
      <c r="B22" s="105">
        <v>151641682</v>
      </c>
      <c r="C22" s="50" t="s">
        <v>9</v>
      </c>
      <c r="D22" s="50">
        <v>70</v>
      </c>
      <c r="E22" s="50">
        <v>157300.40000000002</v>
      </c>
      <c r="F22" s="89" t="s">
        <v>155</v>
      </c>
      <c r="G22" s="89">
        <v>635655</v>
      </c>
      <c r="H22" s="89" t="s">
        <v>163</v>
      </c>
      <c r="I22" s="50">
        <v>30</v>
      </c>
      <c r="J22" s="50" t="s">
        <v>110</v>
      </c>
      <c r="K22" s="50"/>
      <c r="L22" s="50">
        <v>30</v>
      </c>
      <c r="M22" s="50"/>
      <c r="N22" s="50"/>
      <c r="O22" s="89" t="s">
        <v>160</v>
      </c>
      <c r="P22" s="50"/>
      <c r="Q22" s="50"/>
    </row>
    <row r="23" spans="1:17" s="7" customFormat="1">
      <c r="A23" s="149" t="s">
        <v>170</v>
      </c>
      <c r="B23" s="105">
        <v>151641682</v>
      </c>
      <c r="C23" s="50" t="s">
        <v>9</v>
      </c>
      <c r="D23" s="50">
        <v>80</v>
      </c>
      <c r="E23" s="50">
        <v>54166.720000000001</v>
      </c>
      <c r="F23" s="89" t="s">
        <v>155</v>
      </c>
      <c r="G23" s="89">
        <v>632215</v>
      </c>
      <c r="H23" s="89" t="s">
        <v>31</v>
      </c>
      <c r="I23" s="50">
        <v>8</v>
      </c>
      <c r="J23" s="50" t="s">
        <v>110</v>
      </c>
      <c r="K23" s="50"/>
      <c r="L23" s="50">
        <v>8</v>
      </c>
      <c r="M23" s="50"/>
      <c r="N23" s="50"/>
      <c r="O23" s="89" t="s">
        <v>160</v>
      </c>
      <c r="P23" s="50"/>
      <c r="Q23" s="50"/>
    </row>
    <row r="24" spans="1:17" s="7" customFormat="1">
      <c r="A24" s="150"/>
      <c r="B24" s="105">
        <v>151641682</v>
      </c>
      <c r="C24" s="50" t="s">
        <v>9</v>
      </c>
      <c r="D24" s="50">
        <v>90</v>
      </c>
      <c r="E24" s="50">
        <v>86118.760000000009</v>
      </c>
      <c r="F24" s="89" t="s">
        <v>155</v>
      </c>
      <c r="G24" s="89">
        <v>616026</v>
      </c>
      <c r="H24" s="89" t="s">
        <v>127</v>
      </c>
      <c r="I24" s="50">
        <v>13</v>
      </c>
      <c r="J24" s="50" t="s">
        <v>110</v>
      </c>
      <c r="K24" s="50"/>
      <c r="L24" s="50">
        <v>13</v>
      </c>
      <c r="M24" s="50"/>
      <c r="N24" s="50"/>
      <c r="O24" s="89" t="s">
        <v>161</v>
      </c>
      <c r="P24" s="50"/>
      <c r="Q24" s="50"/>
    </row>
    <row r="25" spans="1:17" s="7" customFormat="1">
      <c r="A25" s="119"/>
      <c r="B25" s="111">
        <v>151639440</v>
      </c>
      <c r="C25" s="119" t="s">
        <v>9</v>
      </c>
      <c r="D25" s="119">
        <v>10</v>
      </c>
      <c r="E25" s="112">
        <v>66080</v>
      </c>
      <c r="F25" s="112" t="s">
        <v>173</v>
      </c>
      <c r="G25" s="112">
        <v>772264</v>
      </c>
      <c r="H25" s="112" t="s">
        <v>174</v>
      </c>
      <c r="I25" s="119">
        <v>50</v>
      </c>
      <c r="J25" s="119" t="s">
        <v>110</v>
      </c>
      <c r="K25" s="119"/>
      <c r="L25" s="119">
        <v>50</v>
      </c>
      <c r="M25" s="119"/>
      <c r="N25" s="119"/>
      <c r="O25" s="113" t="s">
        <v>175</v>
      </c>
      <c r="P25" s="119"/>
      <c r="Q25" s="119" t="s">
        <v>184</v>
      </c>
    </row>
  </sheetData>
  <mergeCells count="4">
    <mergeCell ref="F1:K1"/>
    <mergeCell ref="A3:A5"/>
    <mergeCell ref="A21:A22"/>
    <mergeCell ref="A23:A24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2970-EB89-48DA-8464-223EA3EB5DD9}">
  <dimension ref="A1:H47"/>
  <sheetViews>
    <sheetView workbookViewId="0">
      <pane ySplit="1" topLeftCell="A2" activePane="bottomLeft" state="frozen"/>
      <selection pane="bottomLeft" activeCell="C9" sqref="C9"/>
    </sheetView>
  </sheetViews>
  <sheetFormatPr defaultRowHeight="14.5"/>
  <cols>
    <col min="1" max="1" width="8.90625" style="13" customWidth="1"/>
    <col min="2" max="2" width="13.7265625" style="13" customWidth="1"/>
    <col min="3" max="3" width="45.36328125" style="13" customWidth="1"/>
    <col min="4" max="4" width="26.453125" style="13" customWidth="1"/>
    <col min="5" max="5" width="19.90625" style="13" bestFit="1" customWidth="1"/>
    <col min="6" max="6" width="16.08984375" style="13" customWidth="1"/>
    <col min="7" max="7" width="16.1796875" style="13" customWidth="1"/>
    <col min="8" max="8" width="31.1796875" style="22" customWidth="1"/>
    <col min="9" max="16384" width="8.7265625" style="13"/>
  </cols>
  <sheetData>
    <row r="1" spans="1:8" s="20" customFormat="1" ht="42.5" thickBot="1">
      <c r="A1" s="16" t="s">
        <v>48</v>
      </c>
      <c r="B1" s="17" t="s">
        <v>49</v>
      </c>
      <c r="C1" s="17" t="s">
        <v>50</v>
      </c>
      <c r="D1" s="38" t="s">
        <v>96</v>
      </c>
      <c r="E1" s="17" t="s">
        <v>51</v>
      </c>
      <c r="F1" s="18" t="s">
        <v>52</v>
      </c>
      <c r="G1" s="19" t="s">
        <v>53</v>
      </c>
      <c r="H1" s="19" t="s">
        <v>54</v>
      </c>
    </row>
    <row r="2" spans="1:8" s="37" customFormat="1">
      <c r="A2" s="40">
        <v>1</v>
      </c>
      <c r="B2" s="41">
        <v>716663</v>
      </c>
      <c r="C2" s="41" t="s">
        <v>29</v>
      </c>
      <c r="D2" s="35">
        <v>750</v>
      </c>
      <c r="E2" s="42" t="s">
        <v>55</v>
      </c>
      <c r="F2" s="43">
        <v>1896</v>
      </c>
      <c r="G2" s="42" t="s">
        <v>56</v>
      </c>
      <c r="H2" s="44"/>
    </row>
    <row r="3" spans="1:8" s="37" customFormat="1">
      <c r="A3" s="33">
        <v>2</v>
      </c>
      <c r="B3" s="34">
        <v>663092</v>
      </c>
      <c r="C3" s="34" t="s">
        <v>36</v>
      </c>
      <c r="D3" s="35">
        <v>1450</v>
      </c>
      <c r="E3" s="35" t="s">
        <v>55</v>
      </c>
      <c r="F3" s="45">
        <v>5130</v>
      </c>
      <c r="G3" s="35">
        <v>8898278098</v>
      </c>
      <c r="H3" s="26"/>
    </row>
    <row r="4" spans="1:8" s="37" customFormat="1" ht="29.5" thickBot="1">
      <c r="A4" s="33">
        <v>3</v>
      </c>
      <c r="B4" s="34">
        <v>663093</v>
      </c>
      <c r="C4" s="34" t="s">
        <v>32</v>
      </c>
      <c r="D4" s="35">
        <v>2800</v>
      </c>
      <c r="E4" s="35" t="s">
        <v>55</v>
      </c>
      <c r="F4" s="39">
        <v>6615</v>
      </c>
      <c r="G4" s="46" t="s">
        <v>57</v>
      </c>
      <c r="H4" s="47" t="s">
        <v>57</v>
      </c>
    </row>
    <row r="5" spans="1:8" s="37" customFormat="1">
      <c r="A5" s="40">
        <v>4</v>
      </c>
      <c r="B5" s="34">
        <v>646872</v>
      </c>
      <c r="C5" s="34" t="s">
        <v>33</v>
      </c>
      <c r="D5" s="35">
        <v>1225</v>
      </c>
      <c r="E5" s="35" t="s">
        <v>55</v>
      </c>
      <c r="F5" s="39">
        <v>3555</v>
      </c>
      <c r="G5" s="35"/>
      <c r="H5" s="36"/>
    </row>
    <row r="6" spans="1:8" s="37" customFormat="1">
      <c r="A6" s="33">
        <v>5</v>
      </c>
      <c r="B6" s="34">
        <v>663091</v>
      </c>
      <c r="C6" s="34" t="s">
        <v>40</v>
      </c>
      <c r="D6" s="35">
        <v>1050</v>
      </c>
      <c r="E6" s="35" t="s">
        <v>55</v>
      </c>
      <c r="F6" s="45">
        <v>3510</v>
      </c>
      <c r="G6" s="35" t="s">
        <v>58</v>
      </c>
      <c r="H6" s="36"/>
    </row>
    <row r="7" spans="1:8" s="37" customFormat="1" ht="15" thickBot="1">
      <c r="A7" s="33">
        <v>6</v>
      </c>
      <c r="B7" s="34">
        <v>663094</v>
      </c>
      <c r="C7" s="34" t="s">
        <v>23</v>
      </c>
      <c r="D7" s="35" t="s">
        <v>97</v>
      </c>
      <c r="E7" s="35" t="s">
        <v>55</v>
      </c>
      <c r="F7" s="39">
        <v>10602</v>
      </c>
      <c r="G7" s="35">
        <v>9867838855</v>
      </c>
      <c r="H7" s="36">
        <v>5400</v>
      </c>
    </row>
    <row r="8" spans="1:8" s="37" customFormat="1">
      <c r="A8" s="40">
        <v>7</v>
      </c>
      <c r="B8" s="34">
        <v>615698</v>
      </c>
      <c r="C8" s="34" t="s">
        <v>39</v>
      </c>
      <c r="D8" s="35">
        <v>1880</v>
      </c>
      <c r="E8" s="35" t="s">
        <v>55</v>
      </c>
      <c r="F8" s="48">
        <v>4831</v>
      </c>
      <c r="G8" s="35"/>
      <c r="H8" s="36"/>
    </row>
    <row r="9" spans="1:8" s="37" customFormat="1">
      <c r="A9" s="33">
        <v>8</v>
      </c>
      <c r="B9" s="34">
        <v>616026</v>
      </c>
      <c r="C9" s="34" t="s">
        <v>37</v>
      </c>
      <c r="D9" s="35">
        <v>2245</v>
      </c>
      <c r="E9" s="35" t="s">
        <v>55</v>
      </c>
      <c r="F9" s="45">
        <v>5614</v>
      </c>
      <c r="G9" s="35"/>
      <c r="H9" s="36"/>
    </row>
    <row r="10" spans="1:8" s="37" customFormat="1" ht="15" thickBot="1">
      <c r="A10" s="33">
        <v>9</v>
      </c>
      <c r="B10" s="49">
        <v>630059</v>
      </c>
      <c r="C10" s="34" t="s">
        <v>26</v>
      </c>
      <c r="D10" s="35">
        <v>1725</v>
      </c>
      <c r="E10" s="35" t="s">
        <v>55</v>
      </c>
      <c r="F10" s="39">
        <v>4048</v>
      </c>
      <c r="G10" s="35"/>
      <c r="H10" s="36"/>
    </row>
    <row r="11" spans="1:8" s="37" customFormat="1">
      <c r="A11" s="40">
        <v>10</v>
      </c>
      <c r="B11" s="49">
        <v>616039</v>
      </c>
      <c r="C11" s="34" t="s">
        <v>27</v>
      </c>
      <c r="D11" s="35">
        <v>3100</v>
      </c>
      <c r="E11" s="35" t="s">
        <v>55</v>
      </c>
      <c r="F11" s="39">
        <v>6521</v>
      </c>
      <c r="G11" s="35"/>
      <c r="H11" s="36"/>
    </row>
    <row r="12" spans="1:8" s="37" customFormat="1" ht="15" thickBot="1">
      <c r="A12" s="33">
        <v>11</v>
      </c>
      <c r="B12" s="34">
        <v>632215</v>
      </c>
      <c r="C12" s="34" t="s">
        <v>31</v>
      </c>
      <c r="D12" s="35">
        <v>2270</v>
      </c>
      <c r="E12" s="35" t="s">
        <v>55</v>
      </c>
      <c r="F12" s="39">
        <v>5738</v>
      </c>
      <c r="G12" s="35"/>
      <c r="H12" s="36"/>
    </row>
    <row r="13" spans="1:8" s="37" customFormat="1">
      <c r="A13" s="40">
        <v>12</v>
      </c>
      <c r="B13" s="34">
        <v>713141</v>
      </c>
      <c r="C13" s="34" t="s">
        <v>42</v>
      </c>
      <c r="D13" s="35">
        <v>6000</v>
      </c>
      <c r="E13" s="35" t="s">
        <v>55</v>
      </c>
      <c r="F13" s="39">
        <v>12900</v>
      </c>
      <c r="G13" s="35"/>
      <c r="H13" s="36"/>
    </row>
    <row r="14" spans="1:8" s="37" customFormat="1">
      <c r="A14" s="33">
        <v>13</v>
      </c>
      <c r="B14" s="50">
        <v>780236</v>
      </c>
      <c r="C14" s="50" t="s">
        <v>93</v>
      </c>
      <c r="D14" s="35">
        <v>1700</v>
      </c>
      <c r="E14" s="35" t="s">
        <v>55</v>
      </c>
      <c r="F14" s="39">
        <v>4160</v>
      </c>
      <c r="G14" s="35">
        <v>4750</v>
      </c>
      <c r="H14" s="36" t="s">
        <v>95</v>
      </c>
    </row>
    <row r="15" spans="1:8" s="37" customFormat="1" ht="15" thickBot="1">
      <c r="A15" s="33">
        <v>14</v>
      </c>
      <c r="B15" s="34">
        <v>716334</v>
      </c>
      <c r="C15" s="34" t="s">
        <v>18</v>
      </c>
      <c r="D15" s="35">
        <v>2950</v>
      </c>
      <c r="E15" s="35" t="s">
        <v>59</v>
      </c>
      <c r="F15" s="45">
        <v>4995</v>
      </c>
      <c r="G15" s="35">
        <v>8469008882</v>
      </c>
      <c r="H15" s="36"/>
    </row>
    <row r="16" spans="1:8" s="37" customFormat="1">
      <c r="A16" s="40">
        <v>15</v>
      </c>
      <c r="B16" s="34">
        <v>695947</v>
      </c>
      <c r="C16" s="34" t="s">
        <v>17</v>
      </c>
      <c r="D16" s="35">
        <v>445</v>
      </c>
      <c r="E16" s="35" t="s">
        <v>59</v>
      </c>
      <c r="F16" s="45">
        <v>565</v>
      </c>
      <c r="G16" s="35"/>
      <c r="H16" s="36"/>
    </row>
    <row r="17" spans="1:8" s="37" customFormat="1">
      <c r="A17" s="33">
        <v>16</v>
      </c>
      <c r="B17" s="34">
        <v>687254</v>
      </c>
      <c r="C17" s="34" t="s">
        <v>16</v>
      </c>
      <c r="D17" s="35">
        <v>1250</v>
      </c>
      <c r="E17" s="35" t="s">
        <v>59</v>
      </c>
      <c r="F17" s="45">
        <v>1908</v>
      </c>
      <c r="G17" s="35"/>
      <c r="H17" s="36"/>
    </row>
    <row r="18" spans="1:8" s="37" customFormat="1" ht="15" thickBot="1">
      <c r="A18" s="33">
        <v>17</v>
      </c>
      <c r="B18" s="49">
        <v>635655</v>
      </c>
      <c r="C18" s="34" t="s">
        <v>35</v>
      </c>
      <c r="D18" s="35">
        <v>1170</v>
      </c>
      <c r="E18" s="35" t="s">
        <v>60</v>
      </c>
      <c r="F18" s="45">
        <v>4726</v>
      </c>
      <c r="G18" s="35">
        <v>8383036214</v>
      </c>
      <c r="H18" s="26"/>
    </row>
    <row r="19" spans="1:8" s="37" customFormat="1">
      <c r="A19" s="40">
        <v>18</v>
      </c>
      <c r="B19" s="34">
        <v>725828</v>
      </c>
      <c r="C19" s="34" t="s">
        <v>20</v>
      </c>
      <c r="D19" s="147"/>
      <c r="E19" s="147"/>
      <c r="F19" s="45"/>
      <c r="G19" s="147"/>
      <c r="H19" s="26"/>
    </row>
    <row r="20" spans="1:8" s="37" customFormat="1">
      <c r="A20" s="33">
        <v>19</v>
      </c>
      <c r="B20" s="34">
        <v>635656</v>
      </c>
      <c r="C20" s="34" t="s">
        <v>34</v>
      </c>
      <c r="D20" s="35">
        <v>340</v>
      </c>
      <c r="E20" s="35" t="s">
        <v>60</v>
      </c>
      <c r="F20" s="45">
        <v>2818</v>
      </c>
      <c r="G20" s="35">
        <v>9810099146</v>
      </c>
      <c r="H20" s="36"/>
    </row>
    <row r="21" spans="1:8" s="37" customFormat="1" ht="15" thickBot="1">
      <c r="A21" s="33">
        <v>20</v>
      </c>
      <c r="B21" s="49">
        <v>777097</v>
      </c>
      <c r="C21" s="34" t="s">
        <v>28</v>
      </c>
      <c r="D21" s="35">
        <v>702</v>
      </c>
      <c r="E21" s="35" t="s">
        <v>61</v>
      </c>
      <c r="F21" s="39">
        <v>5738</v>
      </c>
      <c r="G21" s="35">
        <v>9810099146</v>
      </c>
      <c r="H21" s="26"/>
    </row>
    <row r="22" spans="1:8" s="37" customFormat="1" ht="29">
      <c r="A22" s="40">
        <v>21</v>
      </c>
      <c r="B22" s="49">
        <v>649868</v>
      </c>
      <c r="C22" s="34" t="s">
        <v>14</v>
      </c>
      <c r="D22" s="35"/>
      <c r="E22" s="35" t="s">
        <v>62</v>
      </c>
      <c r="F22" s="39">
        <v>112</v>
      </c>
      <c r="G22" s="46" t="s">
        <v>63</v>
      </c>
      <c r="H22" s="47" t="s">
        <v>63</v>
      </c>
    </row>
    <row r="23" spans="1:8" s="37" customFormat="1">
      <c r="A23" s="33">
        <v>22</v>
      </c>
      <c r="B23" s="49">
        <v>615181</v>
      </c>
      <c r="C23" s="34" t="s">
        <v>12</v>
      </c>
      <c r="D23" s="35"/>
      <c r="E23" s="35" t="s">
        <v>64</v>
      </c>
      <c r="F23" s="39"/>
      <c r="G23" s="35"/>
      <c r="H23" s="36"/>
    </row>
    <row r="24" spans="1:8" s="37" customFormat="1" ht="15" thickBot="1">
      <c r="A24" s="33">
        <v>23</v>
      </c>
      <c r="B24" s="49">
        <v>668330</v>
      </c>
      <c r="C24" s="34" t="s">
        <v>15</v>
      </c>
      <c r="D24" s="35"/>
      <c r="E24" s="35" t="s">
        <v>65</v>
      </c>
      <c r="F24" s="39">
        <v>5738</v>
      </c>
      <c r="G24" s="35"/>
      <c r="H24" s="36"/>
    </row>
    <row r="25" spans="1:8" s="37" customFormat="1" ht="15" thickBot="1">
      <c r="A25" s="40">
        <v>24</v>
      </c>
      <c r="B25" s="49">
        <v>772264</v>
      </c>
      <c r="C25" s="34" t="s">
        <v>24</v>
      </c>
      <c r="D25" s="31">
        <v>780</v>
      </c>
      <c r="E25" s="35" t="s">
        <v>66</v>
      </c>
      <c r="F25" s="139">
        <v>2800</v>
      </c>
      <c r="G25" s="35"/>
      <c r="H25" s="36"/>
    </row>
    <row r="26" spans="1:8" s="37" customFormat="1" ht="15" thickBot="1">
      <c r="A26" s="33">
        <v>25</v>
      </c>
      <c r="B26" s="49">
        <v>681149</v>
      </c>
      <c r="C26" s="34" t="s">
        <v>30</v>
      </c>
      <c r="D26" s="35"/>
      <c r="E26" s="35" t="s">
        <v>67</v>
      </c>
      <c r="F26" s="39"/>
      <c r="G26" s="35"/>
      <c r="H26" s="36"/>
    </row>
    <row r="27" spans="1:8" s="37" customFormat="1">
      <c r="A27" s="40">
        <v>26</v>
      </c>
      <c r="B27" s="49">
        <v>615840</v>
      </c>
      <c r="C27" s="34" t="s">
        <v>13</v>
      </c>
      <c r="D27" s="35"/>
      <c r="E27" s="35" t="s">
        <v>68</v>
      </c>
      <c r="F27" s="39"/>
      <c r="G27" s="35"/>
      <c r="H27" s="36"/>
    </row>
    <row r="28" spans="1:8" s="37" customFormat="1" ht="15" thickBot="1">
      <c r="A28" s="33">
        <v>27</v>
      </c>
      <c r="B28" s="49">
        <v>724214</v>
      </c>
      <c r="C28" s="34" t="s">
        <v>21</v>
      </c>
      <c r="D28" s="35">
        <v>9067.7999999999993</v>
      </c>
      <c r="E28" s="35" t="s">
        <v>69</v>
      </c>
      <c r="F28" s="39">
        <v>2490</v>
      </c>
      <c r="G28" s="35"/>
      <c r="H28" s="36"/>
    </row>
    <row r="29" spans="1:8" s="37" customFormat="1">
      <c r="A29" s="40">
        <v>28</v>
      </c>
      <c r="B29" s="49">
        <v>719381</v>
      </c>
      <c r="C29" s="34" t="s">
        <v>38</v>
      </c>
      <c r="D29" s="35"/>
      <c r="E29" s="35" t="s">
        <v>70</v>
      </c>
      <c r="F29" s="39">
        <v>9999</v>
      </c>
      <c r="G29" s="35"/>
      <c r="H29" s="36"/>
    </row>
    <row r="30" spans="1:8" s="37" customFormat="1" ht="15" thickBot="1">
      <c r="A30" s="33">
        <v>29</v>
      </c>
      <c r="B30" s="49">
        <v>719031</v>
      </c>
      <c r="C30" s="34" t="s">
        <v>19</v>
      </c>
      <c r="D30" s="35"/>
      <c r="E30" s="35"/>
      <c r="F30" s="39">
        <v>45000</v>
      </c>
      <c r="G30" s="35"/>
      <c r="H30" s="36"/>
    </row>
    <row r="31" spans="1:8" s="37" customFormat="1">
      <c r="A31" s="40">
        <v>30</v>
      </c>
      <c r="B31" s="34">
        <v>615000</v>
      </c>
      <c r="C31" s="34" t="s">
        <v>10</v>
      </c>
      <c r="D31" s="35"/>
      <c r="E31" s="35"/>
      <c r="F31" s="39"/>
      <c r="G31" s="35"/>
      <c r="H31" s="36"/>
    </row>
    <row r="32" spans="1:8" s="37" customFormat="1">
      <c r="A32" s="33">
        <v>31</v>
      </c>
      <c r="B32" s="49">
        <v>662351</v>
      </c>
      <c r="C32" s="34" t="s">
        <v>22</v>
      </c>
      <c r="D32" s="35"/>
      <c r="E32" s="35"/>
      <c r="F32" s="39">
        <v>24050</v>
      </c>
      <c r="G32" s="35"/>
      <c r="H32" s="36"/>
    </row>
    <row r="33" spans="1:8" s="37" customFormat="1" ht="43.5">
      <c r="A33" s="160">
        <v>32</v>
      </c>
      <c r="B33" s="154">
        <v>615863</v>
      </c>
      <c r="C33" s="161" t="s">
        <v>43</v>
      </c>
      <c r="D33" s="149" t="s">
        <v>98</v>
      </c>
      <c r="E33" s="154" t="s">
        <v>99</v>
      </c>
      <c r="F33" s="157">
        <v>600</v>
      </c>
      <c r="G33" s="35" t="s">
        <v>91</v>
      </c>
      <c r="H33" s="47" t="s">
        <v>92</v>
      </c>
    </row>
    <row r="34" spans="1:8" s="37" customFormat="1" ht="29">
      <c r="A34" s="160"/>
      <c r="B34" s="154"/>
      <c r="C34" s="161"/>
      <c r="D34" s="150"/>
      <c r="E34" s="154"/>
      <c r="F34" s="157"/>
      <c r="G34" s="46" t="s">
        <v>92</v>
      </c>
      <c r="H34" s="47"/>
    </row>
    <row r="35" spans="1:8" s="37" customFormat="1" ht="29">
      <c r="A35" s="33">
        <v>33</v>
      </c>
      <c r="B35" s="35"/>
      <c r="C35" s="35" t="s">
        <v>71</v>
      </c>
      <c r="D35" s="35">
        <v>1695</v>
      </c>
      <c r="E35" s="35" t="s">
        <v>72</v>
      </c>
      <c r="F35" s="39"/>
      <c r="G35" s="35">
        <v>9921223437</v>
      </c>
      <c r="H35" s="47" t="s">
        <v>73</v>
      </c>
    </row>
    <row r="36" spans="1:8" s="37" customFormat="1" ht="29">
      <c r="A36" s="33">
        <v>34</v>
      </c>
      <c r="B36" s="35"/>
      <c r="C36" s="35" t="s">
        <v>74</v>
      </c>
      <c r="D36" s="35">
        <v>1695</v>
      </c>
      <c r="E36" s="35" t="s">
        <v>72</v>
      </c>
      <c r="F36" s="39"/>
      <c r="G36" s="46" t="s">
        <v>73</v>
      </c>
      <c r="H36" s="36"/>
    </row>
    <row r="37" spans="1:8" s="37" customFormat="1" ht="29" customHeight="1">
      <c r="A37" s="33">
        <v>35</v>
      </c>
      <c r="B37" s="154"/>
      <c r="C37" s="154" t="s">
        <v>75</v>
      </c>
      <c r="D37" s="149">
        <v>2225</v>
      </c>
      <c r="E37" s="154" t="s">
        <v>76</v>
      </c>
      <c r="F37" s="157"/>
      <c r="G37" s="35">
        <v>9825061951</v>
      </c>
      <c r="H37" s="47" t="s">
        <v>77</v>
      </c>
    </row>
    <row r="38" spans="1:8" s="37" customFormat="1" ht="29">
      <c r="A38" s="33">
        <v>36</v>
      </c>
      <c r="B38" s="154"/>
      <c r="C38" s="154"/>
      <c r="D38" s="150"/>
      <c r="E38" s="154"/>
      <c r="F38" s="157"/>
      <c r="G38" s="46" t="s">
        <v>77</v>
      </c>
      <c r="H38" s="47"/>
    </row>
    <row r="39" spans="1:8" s="37" customFormat="1" ht="43.5" customHeight="1">
      <c r="A39" s="33">
        <v>37</v>
      </c>
      <c r="B39" s="154"/>
      <c r="C39" s="154" t="s">
        <v>78</v>
      </c>
      <c r="D39" s="158">
        <v>330</v>
      </c>
      <c r="E39" s="154" t="s">
        <v>79</v>
      </c>
      <c r="F39" s="157"/>
      <c r="G39" s="35" t="s">
        <v>80</v>
      </c>
      <c r="H39" s="47" t="s">
        <v>81</v>
      </c>
    </row>
    <row r="40" spans="1:8" s="37" customFormat="1" ht="29">
      <c r="A40" s="33">
        <v>38</v>
      </c>
      <c r="B40" s="154"/>
      <c r="C40" s="154"/>
      <c r="D40" s="159"/>
      <c r="E40" s="154"/>
      <c r="F40" s="157"/>
      <c r="G40" s="46" t="s">
        <v>81</v>
      </c>
      <c r="H40" s="47"/>
    </row>
    <row r="41" spans="1:8" s="37" customFormat="1" ht="43.5">
      <c r="A41" s="33">
        <v>39</v>
      </c>
      <c r="B41" s="35"/>
      <c r="C41" s="35" t="s">
        <v>82</v>
      </c>
      <c r="D41" s="51">
        <v>5800</v>
      </c>
      <c r="E41" s="35" t="s">
        <v>66</v>
      </c>
      <c r="F41" s="39"/>
      <c r="G41" s="35"/>
      <c r="H41" s="36"/>
    </row>
    <row r="42" spans="1:8" s="37" customFormat="1">
      <c r="A42" s="33">
        <v>40</v>
      </c>
      <c r="B42" s="35"/>
      <c r="C42" s="51" t="s">
        <v>83</v>
      </c>
      <c r="D42" s="35"/>
      <c r="E42" s="35" t="s">
        <v>84</v>
      </c>
      <c r="F42" s="39"/>
      <c r="G42" s="35"/>
      <c r="H42" s="36"/>
    </row>
    <row r="43" spans="1:8">
      <c r="A43" s="21">
        <v>41</v>
      </c>
      <c r="B43" s="14"/>
      <c r="C43" s="25" t="s">
        <v>85</v>
      </c>
      <c r="D43" s="31">
        <v>241.53</v>
      </c>
      <c r="E43" s="14" t="s">
        <v>86</v>
      </c>
      <c r="F43" s="23"/>
      <c r="G43" s="14"/>
      <c r="H43" s="24"/>
    </row>
    <row r="44" spans="1:8">
      <c r="A44" s="21">
        <v>42</v>
      </c>
      <c r="B44" s="14"/>
      <c r="C44" s="25" t="s">
        <v>87</v>
      </c>
      <c r="D44" s="32"/>
      <c r="E44" s="14" t="s">
        <v>67</v>
      </c>
      <c r="F44" s="23"/>
      <c r="G44" s="14"/>
      <c r="H44" s="24"/>
    </row>
    <row r="45" spans="1:8">
      <c r="A45" s="21">
        <v>43</v>
      </c>
      <c r="B45" s="14"/>
      <c r="C45" s="25" t="s">
        <v>88</v>
      </c>
      <c r="D45" s="32"/>
      <c r="E45" s="14" t="s">
        <v>67</v>
      </c>
      <c r="F45" s="23"/>
      <c r="G45" s="14"/>
      <c r="H45" s="24"/>
    </row>
    <row r="46" spans="1:8">
      <c r="A46" s="21">
        <v>44</v>
      </c>
      <c r="B46" s="14"/>
      <c r="C46" s="25" t="s">
        <v>89</v>
      </c>
      <c r="D46" s="32"/>
      <c r="E46" s="14" t="s">
        <v>90</v>
      </c>
      <c r="F46" s="23"/>
      <c r="G46" s="14"/>
      <c r="H46" s="24"/>
    </row>
    <row r="47" spans="1:8" ht="15" thickBot="1">
      <c r="A47" s="27"/>
      <c r="B47" s="28"/>
      <c r="C47" s="28"/>
      <c r="D47" s="28"/>
      <c r="E47" s="28"/>
      <c r="F47" s="28"/>
      <c r="G47" s="28"/>
      <c r="H47" s="29"/>
    </row>
  </sheetData>
  <autoFilter ref="A1:H46" xr:uid="{A59F2970-EB89-48DA-8464-223EA3EB5DD9}"/>
  <mergeCells count="16">
    <mergeCell ref="A33:A34"/>
    <mergeCell ref="B33:B34"/>
    <mergeCell ref="C33:C34"/>
    <mergeCell ref="E33:E34"/>
    <mergeCell ref="F33:F34"/>
    <mergeCell ref="D33:D34"/>
    <mergeCell ref="B39:B40"/>
    <mergeCell ref="C39:C40"/>
    <mergeCell ref="E39:E40"/>
    <mergeCell ref="F39:F40"/>
    <mergeCell ref="F37:F38"/>
    <mergeCell ref="B37:B38"/>
    <mergeCell ref="C37:C38"/>
    <mergeCell ref="E37:E38"/>
    <mergeCell ref="D39:D40"/>
    <mergeCell ref="D37:D38"/>
  </mergeCells>
  <hyperlinks>
    <hyperlink ref="G22" r:id="rId1" xr:uid="{E2393AD8-C57D-472E-B047-9E75DE01DBAC}"/>
    <hyperlink ref="G40" r:id="rId2" xr:uid="{23D13809-DD99-4E5E-872F-82123F8FF21A}"/>
    <hyperlink ref="G38" r:id="rId3" xr:uid="{7002E518-D4EC-4603-9E0B-500538372086}"/>
    <hyperlink ref="G36" r:id="rId4" xr:uid="{A8F47C8C-5224-4C83-84C7-950C45909373}"/>
    <hyperlink ref="G4" r:id="rId5" xr:uid="{D045DF3B-B2C0-49C6-B3E7-33E0BCC7AE2B}"/>
    <hyperlink ref="H33" r:id="rId6" xr:uid="{63B5E970-EC49-4E37-BC04-C8F44B800929}"/>
    <hyperlink ref="H4" r:id="rId7" xr:uid="{7CEF7316-DE06-4D8B-A36B-A7ED134C782A}"/>
    <hyperlink ref="H22" r:id="rId8" xr:uid="{FA485E78-ED6C-4E30-8625-2D2F6A4EAA09}"/>
    <hyperlink ref="H35" r:id="rId9" xr:uid="{D7101E22-9F71-4B36-AF03-5BF207DDB498}"/>
    <hyperlink ref="H37" r:id="rId10" xr:uid="{4AE58006-8922-41E9-A38D-09C7E4F50929}"/>
    <hyperlink ref="H39" r:id="rId11" xr:uid="{BFF2069A-ACDB-4E6E-AC2E-81AECB2E9800}"/>
    <hyperlink ref="G34" r:id="rId12" xr:uid="{AE2BECE5-A6E8-48A5-9905-52DFE87DEBF8}"/>
  </hyperlinks>
  <pageMargins left="0.7" right="0.7" top="0.75" bottom="0.75" header="0.3" footer="0.3"/>
  <pageSetup orientation="portrait" horizontalDpi="360" verticalDpi="36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APS</vt:lpstr>
      <vt:lpstr>MFG</vt:lpstr>
      <vt:lpstr>Pending to place order</vt:lpstr>
      <vt:lpstr>PENDIND SUPPLY</vt:lpstr>
      <vt:lpstr> Materials Vendor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2025-08-13T05:18:33Z</dcterms:modified>
</cp:coreProperties>
</file>