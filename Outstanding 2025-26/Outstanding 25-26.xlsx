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Outstanding 2025-26\"/>
    </mc:Choice>
  </mc:AlternateContent>
  <xr:revisionPtr revIDLastSave="0" documentId="13_ncr:1_{C439BB1B-DD3F-422C-BA66-670A50DCE869}" xr6:coauthVersionLast="47" xr6:coauthVersionMax="47" xr10:uidLastSave="{00000000-0000-0000-0000-000000000000}"/>
  <bookViews>
    <workbookView xWindow="-110" yWindow="-110" windowWidth="19420" windowHeight="10420" activeTab="2" xr2:uid="{DC8D43E5-2B71-4071-8AA5-4083E773926B}"/>
  </bookViews>
  <sheets>
    <sheet name="Purchase Outstanding 25-26" sheetId="1" r:id="rId1"/>
    <sheet name="Sheet2" sheetId="4" r:id="rId2"/>
    <sheet name="Sales outsanding 25-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H6" i="2" l="1"/>
  <c r="H5" i="2"/>
</calcChain>
</file>

<file path=xl/sharedStrings.xml><?xml version="1.0" encoding="utf-8"?>
<sst xmlns="http://schemas.openxmlformats.org/spreadsheetml/2006/main" count="171" uniqueCount="114">
  <si>
    <t>DATE</t>
  </si>
  <si>
    <t xml:space="preserve">INVOICE NO </t>
  </si>
  <si>
    <t>CLIENT</t>
  </si>
  <si>
    <t xml:space="preserve">AMOUNT </t>
  </si>
  <si>
    <t>MODE OF PAYMENT</t>
  </si>
  <si>
    <t>DATE OF PAYMENT</t>
  </si>
  <si>
    <t>PAID</t>
  </si>
  <si>
    <t>PENDING</t>
  </si>
  <si>
    <t>b24-25AQ117</t>
  </si>
  <si>
    <t>ELSHADDHAI 117</t>
  </si>
  <si>
    <t>b24-25AQ204</t>
  </si>
  <si>
    <t>ELSHADDHAI 204</t>
  </si>
  <si>
    <t>b24-25MQ207</t>
  </si>
  <si>
    <t>Putzmeister Concrete Machines Pvt Ltd</t>
  </si>
  <si>
    <t>18/10/24</t>
  </si>
  <si>
    <t>b24-25Q307</t>
  </si>
  <si>
    <t>Create</t>
  </si>
  <si>
    <t>NEFT</t>
  </si>
  <si>
    <t xml:space="preserve">           149555.00</t>
  </si>
  <si>
    <t>Khorlim Praneel P401</t>
  </si>
  <si>
    <t>Pranil Khorlim</t>
  </si>
  <si>
    <t>bal left 13752</t>
  </si>
  <si>
    <t>b24-25Q408</t>
  </si>
  <si>
    <t>14/3/2025</t>
  </si>
  <si>
    <t>b24-25Q409</t>
  </si>
  <si>
    <t>VENDOR</t>
  </si>
  <si>
    <t>CD/OD</t>
  </si>
  <si>
    <t>STATUS</t>
  </si>
  <si>
    <t>21/3/25</t>
  </si>
  <si>
    <t>24-25/635</t>
  </si>
  <si>
    <t>Namrata Rubber Product Pvt Ltd</t>
  </si>
  <si>
    <t>24/3/25</t>
  </si>
  <si>
    <t>24-25/640</t>
  </si>
  <si>
    <t>14-2-25</t>
  </si>
  <si>
    <t>I-C-1-25-464927</t>
  </si>
  <si>
    <t>Collective Trade Links Pvt Ltd</t>
  </si>
  <si>
    <t>paid by putz</t>
  </si>
  <si>
    <t>18/2/25</t>
  </si>
  <si>
    <t>I-C-1-25-464964</t>
  </si>
  <si>
    <t>I-C-1-25-465323</t>
  </si>
  <si>
    <t>I-C-1-25-465324</t>
  </si>
  <si>
    <t>MD/22/23/026340</t>
  </si>
  <si>
    <t>Mulraj Devchand Thakkar</t>
  </si>
  <si>
    <t>OPENINGS PENDING TO PAY VENDOR...  NEED TO CHECK</t>
  </si>
  <si>
    <t>MD/22/23/026981</t>
  </si>
  <si>
    <t>Vailankanni Refrigeration &amp; Airconditioning</t>
  </si>
  <si>
    <t xml:space="preserve"> Gera Imperium Grand</t>
  </si>
  <si>
    <t>MIGHT BE PAID</t>
  </si>
  <si>
    <t>INV-017490</t>
  </si>
  <si>
    <t>Pilz India Pvt Ltd</t>
  </si>
  <si>
    <t>085/24-25</t>
  </si>
  <si>
    <t>Karm Enterprises</t>
  </si>
  <si>
    <t>098/24-25</t>
  </si>
  <si>
    <t>VM/3603/24-25</t>
  </si>
  <si>
    <t>V M Traders</t>
  </si>
  <si>
    <t>KIG-INV2425-1069</t>
  </si>
  <si>
    <t>Kaamdhenu Infotrade Pvt Ltd</t>
  </si>
  <si>
    <t>Chq No 089940</t>
  </si>
  <si>
    <t>Happy Cement</t>
  </si>
  <si>
    <t>PNJ/24-25/1094</t>
  </si>
  <si>
    <t>Hatley Technologies</t>
  </si>
  <si>
    <t>25/7/24</t>
  </si>
  <si>
    <t>PNJ/24-25/1321</t>
  </si>
  <si>
    <t>26/7/25</t>
  </si>
  <si>
    <t>Niks Ceramic</t>
  </si>
  <si>
    <t>GPAY</t>
  </si>
  <si>
    <t>MID/AUG/0237</t>
  </si>
  <si>
    <t>Midway Trading Co.</t>
  </si>
  <si>
    <t>STC/24-25/3262</t>
  </si>
  <si>
    <t>Sini Tyre Care</t>
  </si>
  <si>
    <t>P/24-25/1744</t>
  </si>
  <si>
    <t>EC/24/1194/1194</t>
  </si>
  <si>
    <t>Electronic Centre</t>
  </si>
  <si>
    <t>paid by Shubi gpay</t>
  </si>
  <si>
    <t>VCM596</t>
  </si>
  <si>
    <t>M/s Visvonata V.S.Duclo</t>
  </si>
  <si>
    <t>EC/24/1194/1227</t>
  </si>
  <si>
    <t>SIPCOT Limited Electronic-Hardware Hitech SEZ</t>
  </si>
  <si>
    <t>Dell Technologies</t>
  </si>
  <si>
    <t>VRC-840</t>
  </si>
  <si>
    <t>Vantage Rubber Co.</t>
  </si>
  <si>
    <t>VCM630</t>
  </si>
  <si>
    <t>Dhatri Networks Pvt Ltd</t>
  </si>
  <si>
    <t>24/1025</t>
  </si>
  <si>
    <t>SR/24-25/1620</t>
  </si>
  <si>
    <t>Sanyo and Sanyo</t>
  </si>
  <si>
    <t>22/11/24</t>
  </si>
  <si>
    <t>Asha Enterprises</t>
  </si>
  <si>
    <t>GSTP/675/24-25</t>
  </si>
  <si>
    <t>Electronic Hub</t>
  </si>
  <si>
    <t>17/2/25</t>
  </si>
  <si>
    <t>Vailankanni (airconditionin)</t>
  </si>
  <si>
    <t>13/3/25</t>
  </si>
  <si>
    <t>MAP/24-25/7346</t>
  </si>
  <si>
    <t>Hatley Sales And Services</t>
  </si>
  <si>
    <t>by stalin</t>
  </si>
  <si>
    <t>31/3/25</t>
  </si>
  <si>
    <t>A.K. Traders</t>
  </si>
  <si>
    <t>Shri Hari  Trading Compay</t>
  </si>
  <si>
    <t>1,240 left to pay shri hari</t>
  </si>
  <si>
    <t>I24-250050003639</t>
  </si>
  <si>
    <t>Digimro Distribution India Pvt Ltd</t>
  </si>
  <si>
    <t>Cheque</t>
  </si>
  <si>
    <t>Cheque dated on 16/02/25</t>
  </si>
  <si>
    <t>b25-26Q101</t>
  </si>
  <si>
    <t>b25-26Q102</t>
  </si>
  <si>
    <t>b225-26Q104</t>
  </si>
  <si>
    <t>b25-26Q105</t>
  </si>
  <si>
    <t>20/04/2025</t>
  </si>
  <si>
    <t>b25-26Q106</t>
  </si>
  <si>
    <t>17/04/2025</t>
  </si>
  <si>
    <t>b25-26Q107</t>
  </si>
  <si>
    <t>b25-26Q108</t>
  </si>
  <si>
    <t>23/4/25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</si>
</sst>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5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1" xfId="1" applyFont="1" applyFill="1" applyBorder="1" applyAlignment="1"/>
    <xf numFmtId="43" fontId="4" fillId="2" borderId="2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3" fontId="4" fillId="0" borderId="1" xfId="1" applyFont="1" applyFill="1" applyBorder="1" applyAlignment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0" fontId="0" fillId="2" borderId="0" xfId="0" applyFill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Fill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3" fontId="0" fillId="4" borderId="1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14" fontId="4" fillId="0" borderId="9" xfId="0" applyNumberFormat="1" applyFont="1" applyBorder="1" applyAlignment="1">
      <alignment horizontal="center"/>
    </xf>
    <xf numFmtId="43" fontId="4" fillId="0" borderId="10" xfId="1" applyFont="1" applyBorder="1" applyAlignment="1"/>
    <xf numFmtId="43" fontId="4" fillId="0" borderId="11" xfId="1" applyFont="1" applyBorder="1" applyAlignment="1"/>
    <xf numFmtId="0" fontId="0" fillId="0" borderId="0" xfId="0" applyAlignment="1">
      <alignment horizontal="center"/>
    </xf>
    <xf numFmtId="43" fontId="4" fillId="0" borderId="1" xfId="1" applyFont="1" applyBorder="1" applyAlignment="1"/>
    <xf numFmtId="43" fontId="6" fillId="0" borderId="0" xfId="1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F04D-70EA-42E8-BF55-9EE99FA02999}">
  <dimension ref="A1:H12"/>
  <sheetViews>
    <sheetView topLeftCell="A4" workbookViewId="0">
      <selection activeCell="F8" sqref="F8"/>
    </sheetView>
  </sheetViews>
  <sheetFormatPr defaultRowHeight="14.5" x14ac:dyDescent="0.35"/>
  <cols>
    <col min="1" max="1" width="11.7265625" style="37" customWidth="1"/>
    <col min="2" max="2" width="16.54296875" style="37" bestFit="1" customWidth="1"/>
    <col min="3" max="3" width="36.7265625" style="37" customWidth="1"/>
    <col min="4" max="4" width="15.08984375" style="37" bestFit="1" customWidth="1"/>
    <col min="5" max="5" width="26" style="37" bestFit="1" customWidth="1"/>
    <col min="6" max="6" width="9.453125" style="37" bestFit="1" customWidth="1"/>
    <col min="7" max="7" width="24.54296875" style="37" bestFit="1" customWidth="1"/>
    <col min="8" max="8" width="25.6328125" style="37" customWidth="1"/>
    <col min="9" max="16384" width="8.7265625" style="37"/>
  </cols>
  <sheetData>
    <row r="1" spans="1:8" s="36" customFormat="1" ht="21" x14ac:dyDescent="0.35">
      <c r="A1" s="32" t="s">
        <v>0</v>
      </c>
      <c r="B1" s="33" t="s">
        <v>1</v>
      </c>
      <c r="C1" s="33" t="s">
        <v>25</v>
      </c>
      <c r="D1" s="34" t="s">
        <v>3</v>
      </c>
      <c r="E1" s="33" t="s">
        <v>4</v>
      </c>
      <c r="F1" s="33" t="s">
        <v>26</v>
      </c>
      <c r="G1" s="32" t="s">
        <v>5</v>
      </c>
      <c r="H1" s="35" t="s">
        <v>27</v>
      </c>
    </row>
    <row r="2" spans="1:8" x14ac:dyDescent="0.35">
      <c r="A2" s="28" t="s">
        <v>28</v>
      </c>
      <c r="B2" s="28" t="s">
        <v>29</v>
      </c>
      <c r="C2" s="9" t="s">
        <v>30</v>
      </c>
      <c r="D2" s="31">
        <v>40651</v>
      </c>
      <c r="E2" s="9"/>
    </row>
    <row r="3" spans="1:8" x14ac:dyDescent="0.35">
      <c r="A3" s="28" t="s">
        <v>31</v>
      </c>
      <c r="B3" s="28" t="s">
        <v>32</v>
      </c>
      <c r="C3" s="9" t="s">
        <v>30</v>
      </c>
      <c r="D3" s="31">
        <v>22184</v>
      </c>
      <c r="E3" s="9"/>
    </row>
    <row r="4" spans="1:8" x14ac:dyDescent="0.35">
      <c r="A4" s="28"/>
      <c r="B4" s="28"/>
      <c r="C4" s="9"/>
      <c r="D4" s="31"/>
      <c r="E4" s="9"/>
    </row>
    <row r="5" spans="1:8" ht="29" x14ac:dyDescent="0.35">
      <c r="A5" s="38" t="s">
        <v>33</v>
      </c>
      <c r="B5" s="28" t="s">
        <v>34</v>
      </c>
      <c r="C5" s="28" t="s">
        <v>35</v>
      </c>
      <c r="D5" s="30">
        <v>29500</v>
      </c>
      <c r="E5" s="29"/>
      <c r="F5" s="29" t="s">
        <v>36</v>
      </c>
    </row>
    <row r="6" spans="1:8" x14ac:dyDescent="0.35">
      <c r="A6" s="39" t="s">
        <v>37</v>
      </c>
      <c r="B6" s="29" t="s">
        <v>38</v>
      </c>
      <c r="C6" s="29" t="s">
        <v>35</v>
      </c>
      <c r="D6" s="30">
        <v>157530</v>
      </c>
      <c r="E6" s="29"/>
      <c r="F6" s="29"/>
    </row>
    <row r="7" spans="1:8" x14ac:dyDescent="0.35">
      <c r="A7" s="38">
        <v>45872</v>
      </c>
      <c r="B7" s="29" t="s">
        <v>39</v>
      </c>
      <c r="C7" s="29" t="s">
        <v>35</v>
      </c>
      <c r="D7" s="30">
        <v>41772</v>
      </c>
      <c r="E7" s="29"/>
      <c r="F7" s="29"/>
    </row>
    <row r="8" spans="1:8" x14ac:dyDescent="0.35">
      <c r="A8" s="38">
        <v>45872</v>
      </c>
      <c r="B8" s="29" t="s">
        <v>40</v>
      </c>
      <c r="C8" s="29" t="s">
        <v>35</v>
      </c>
      <c r="D8" s="30">
        <v>34810</v>
      </c>
      <c r="E8" s="29"/>
      <c r="F8" s="29"/>
    </row>
    <row r="9" spans="1:8" x14ac:dyDescent="0.35">
      <c r="A9" s="39"/>
      <c r="B9" s="29"/>
      <c r="C9" s="29"/>
      <c r="D9" s="30"/>
      <c r="E9" s="29"/>
      <c r="F9" s="29"/>
    </row>
    <row r="10" spans="1:8" x14ac:dyDescent="0.35">
      <c r="A10" s="39"/>
      <c r="B10" s="29"/>
      <c r="C10" s="29"/>
      <c r="D10" s="30"/>
      <c r="E10" s="29"/>
      <c r="F10" s="29"/>
    </row>
    <row r="11" spans="1:8" s="66" customFormat="1" ht="19" customHeight="1" x14ac:dyDescent="0.35">
      <c r="A11" s="63">
        <v>45993</v>
      </c>
      <c r="B11" s="12">
        <v>196</v>
      </c>
      <c r="C11" s="12" t="s">
        <v>98</v>
      </c>
      <c r="D11" s="64">
        <v>21240</v>
      </c>
      <c r="E11" s="65" t="s">
        <v>17</v>
      </c>
      <c r="F11" s="65"/>
      <c r="G11" s="48"/>
      <c r="H11" s="65" t="s">
        <v>99</v>
      </c>
    </row>
    <row r="12" spans="1:8" s="72" customFormat="1" ht="29" x14ac:dyDescent="0.35">
      <c r="A12" s="67">
        <v>45666</v>
      </c>
      <c r="B12" s="68" t="s">
        <v>100</v>
      </c>
      <c r="C12" s="68" t="s">
        <v>101</v>
      </c>
      <c r="D12" s="69">
        <v>39235</v>
      </c>
      <c r="E12" s="68" t="s">
        <v>102</v>
      </c>
      <c r="F12" s="70"/>
      <c r="G12" s="67"/>
      <c r="H12" s="7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0E02-200F-4092-A98D-2F6933602D0E}">
  <dimension ref="A1:H39"/>
  <sheetViews>
    <sheetView topLeftCell="A31" workbookViewId="0">
      <selection activeCell="C6" sqref="C6"/>
    </sheetView>
  </sheetViews>
  <sheetFormatPr defaultRowHeight="14.5" x14ac:dyDescent="0.35"/>
  <cols>
    <col min="1" max="1" width="9.54296875" bestFit="1" customWidth="1"/>
    <col min="2" max="2" width="16.54296875" bestFit="1" customWidth="1"/>
    <col min="3" max="3" width="40.36328125" bestFit="1" customWidth="1"/>
    <col min="4" max="4" width="15.08984375" bestFit="1" customWidth="1"/>
    <col min="5" max="5" width="26" bestFit="1" customWidth="1"/>
    <col min="6" max="6" width="11" bestFit="1" customWidth="1"/>
    <col min="7" max="7" width="24.54296875" bestFit="1" customWidth="1"/>
    <col min="8" max="8" width="48.1796875" bestFit="1" customWidth="1"/>
  </cols>
  <sheetData>
    <row r="1" spans="1:8" s="36" customFormat="1" ht="21" x14ac:dyDescent="0.35">
      <c r="A1" s="32" t="s">
        <v>0</v>
      </c>
      <c r="B1" s="33" t="s">
        <v>1</v>
      </c>
      <c r="C1" s="33" t="s">
        <v>25</v>
      </c>
      <c r="D1" s="34" t="s">
        <v>3</v>
      </c>
      <c r="E1" s="33" t="s">
        <v>4</v>
      </c>
      <c r="F1" s="33" t="s">
        <v>26</v>
      </c>
      <c r="G1" s="32" t="s">
        <v>5</v>
      </c>
      <c r="H1" s="35" t="s">
        <v>27</v>
      </c>
    </row>
    <row r="2" spans="1:8" s="36" customFormat="1" x14ac:dyDescent="0.35">
      <c r="A2" s="40">
        <v>45006</v>
      </c>
      <c r="B2" s="41" t="s">
        <v>41</v>
      </c>
      <c r="C2" s="41" t="s">
        <v>42</v>
      </c>
      <c r="D2" s="42">
        <v>2400</v>
      </c>
      <c r="H2" s="36" t="s">
        <v>43</v>
      </c>
    </row>
    <row r="3" spans="1:8" s="36" customFormat="1" x14ac:dyDescent="0.35">
      <c r="A3" s="43">
        <v>45014</v>
      </c>
      <c r="B3" s="44" t="s">
        <v>44</v>
      </c>
      <c r="C3" s="44" t="s">
        <v>42</v>
      </c>
      <c r="D3" s="45">
        <v>3380</v>
      </c>
      <c r="H3" s="36" t="s">
        <v>43</v>
      </c>
    </row>
    <row r="4" spans="1:8" s="36" customFormat="1" ht="17.399999999999999" customHeight="1" x14ac:dyDescent="0.35">
      <c r="A4" s="52">
        <v>45234</v>
      </c>
      <c r="B4" s="9">
        <v>5950</v>
      </c>
      <c r="C4" s="9" t="s">
        <v>45</v>
      </c>
      <c r="D4" s="31">
        <v>1500</v>
      </c>
      <c r="E4" s="9"/>
      <c r="F4" s="9"/>
      <c r="G4" s="52"/>
      <c r="H4" s="56"/>
    </row>
    <row r="5" spans="1:8" s="36" customFormat="1" ht="17.399999999999999" customHeight="1" x14ac:dyDescent="0.35">
      <c r="A5" s="46">
        <v>45292</v>
      </c>
      <c r="B5" s="9">
        <v>288</v>
      </c>
      <c r="C5" s="9" t="s">
        <v>46</v>
      </c>
      <c r="D5" s="31">
        <v>48880</v>
      </c>
      <c r="E5" s="9"/>
      <c r="F5" s="9"/>
      <c r="G5" s="52"/>
      <c r="H5" s="56" t="s">
        <v>47</v>
      </c>
    </row>
    <row r="6" spans="1:8" s="36" customFormat="1" x14ac:dyDescent="0.35">
      <c r="A6" s="52">
        <v>45364</v>
      </c>
      <c r="B6" s="9" t="s">
        <v>48</v>
      </c>
      <c r="C6" s="9" t="s">
        <v>49</v>
      </c>
      <c r="D6" s="31">
        <v>192635</v>
      </c>
      <c r="E6" s="9"/>
      <c r="F6" s="9"/>
      <c r="G6" s="52"/>
      <c r="H6" s="56"/>
    </row>
    <row r="7" spans="1:8" s="36" customFormat="1" x14ac:dyDescent="0.35">
      <c r="A7" s="46">
        <v>45600</v>
      </c>
      <c r="B7" s="9">
        <v>154</v>
      </c>
      <c r="C7" s="9" t="s">
        <v>46</v>
      </c>
      <c r="D7" s="31">
        <v>54289</v>
      </c>
      <c r="E7" s="9"/>
      <c r="F7" s="9"/>
      <c r="G7" s="52"/>
      <c r="H7" s="56" t="s">
        <v>47</v>
      </c>
    </row>
    <row r="8" spans="1:8" s="36" customFormat="1" x14ac:dyDescent="0.35">
      <c r="A8" s="52">
        <v>45411</v>
      </c>
      <c r="B8" s="9" t="s">
        <v>50</v>
      </c>
      <c r="C8" s="9" t="s">
        <v>51</v>
      </c>
      <c r="D8" s="31">
        <v>46545</v>
      </c>
      <c r="E8" s="9"/>
      <c r="F8" s="9"/>
      <c r="G8" s="52"/>
      <c r="H8" s="56"/>
    </row>
    <row r="9" spans="1:8" s="36" customFormat="1" x14ac:dyDescent="0.35">
      <c r="A9" s="52">
        <v>45412</v>
      </c>
      <c r="B9" s="9" t="s">
        <v>52</v>
      </c>
      <c r="C9" s="9" t="s">
        <v>51</v>
      </c>
      <c r="D9" s="31">
        <v>31192</v>
      </c>
      <c r="E9" s="9"/>
      <c r="F9" s="9"/>
      <c r="G9" s="52"/>
      <c r="H9" s="56"/>
    </row>
    <row r="10" spans="1:8" s="36" customFormat="1" x14ac:dyDescent="0.35">
      <c r="A10" s="52">
        <v>45460</v>
      </c>
      <c r="B10" s="9" t="s">
        <v>53</v>
      </c>
      <c r="C10" s="9" t="s">
        <v>54</v>
      </c>
      <c r="D10" s="31">
        <v>211161</v>
      </c>
      <c r="E10" s="9"/>
      <c r="F10" s="9"/>
      <c r="G10" s="52"/>
      <c r="H10" s="56"/>
    </row>
    <row r="11" spans="1:8" s="36" customFormat="1" x14ac:dyDescent="0.35">
      <c r="A11" s="52">
        <v>45465</v>
      </c>
      <c r="B11" s="9" t="s">
        <v>55</v>
      </c>
      <c r="C11" s="9" t="s">
        <v>56</v>
      </c>
      <c r="D11" s="31">
        <v>11918</v>
      </c>
      <c r="E11" s="9" t="s">
        <v>57</v>
      </c>
      <c r="F11" s="9"/>
      <c r="G11" s="52">
        <v>45495</v>
      </c>
      <c r="H11" s="56"/>
    </row>
    <row r="12" spans="1:8" s="36" customFormat="1" x14ac:dyDescent="0.35">
      <c r="A12" s="47">
        <v>45475</v>
      </c>
      <c r="B12" s="28">
        <v>1</v>
      </c>
      <c r="C12" s="9" t="s">
        <v>58</v>
      </c>
      <c r="D12" s="31">
        <v>2850</v>
      </c>
      <c r="E12" s="44" t="s">
        <v>17</v>
      </c>
      <c r="F12" s="44"/>
      <c r="G12" s="44"/>
      <c r="H12" s="56"/>
    </row>
    <row r="13" spans="1:8" s="36" customFormat="1" x14ac:dyDescent="0.35">
      <c r="A13" s="52">
        <v>45476</v>
      </c>
      <c r="B13" s="9" t="s">
        <v>59</v>
      </c>
      <c r="C13" s="9" t="s">
        <v>60</v>
      </c>
      <c r="D13" s="31">
        <v>826</v>
      </c>
      <c r="E13" s="9"/>
      <c r="F13" s="9"/>
      <c r="G13" s="52"/>
      <c r="H13" s="56"/>
    </row>
    <row r="14" spans="1:8" s="36" customFormat="1" x14ac:dyDescent="0.35">
      <c r="A14" s="57" t="s">
        <v>61</v>
      </c>
      <c r="B14" s="9" t="s">
        <v>62</v>
      </c>
      <c r="C14" s="9" t="s">
        <v>60</v>
      </c>
      <c r="D14" s="31">
        <v>4986</v>
      </c>
      <c r="E14" s="9"/>
      <c r="F14" s="9"/>
      <c r="G14" s="52"/>
      <c r="H14" s="56"/>
    </row>
    <row r="15" spans="1:8" s="36" customFormat="1" x14ac:dyDescent="0.35">
      <c r="A15" s="52" t="s">
        <v>63</v>
      </c>
      <c r="B15" s="9">
        <v>794</v>
      </c>
      <c r="C15" s="9" t="s">
        <v>64</v>
      </c>
      <c r="D15" s="31">
        <v>6615</v>
      </c>
      <c r="E15" s="44" t="s">
        <v>65</v>
      </c>
      <c r="F15" s="44"/>
      <c r="G15" s="58"/>
      <c r="H15" s="56"/>
    </row>
    <row r="16" spans="1:8" s="36" customFormat="1" x14ac:dyDescent="0.35">
      <c r="A16" s="52">
        <v>45527</v>
      </c>
      <c r="B16" s="9" t="s">
        <v>66</v>
      </c>
      <c r="C16" s="9" t="s">
        <v>67</v>
      </c>
      <c r="D16" s="31">
        <v>98</v>
      </c>
      <c r="E16" s="9"/>
      <c r="F16" s="9"/>
      <c r="G16" s="59"/>
      <c r="H16" s="56"/>
    </row>
    <row r="17" spans="1:8" s="36" customFormat="1" x14ac:dyDescent="0.35">
      <c r="A17" s="52">
        <v>45528</v>
      </c>
      <c r="B17" s="9" t="s">
        <v>68</v>
      </c>
      <c r="C17" s="9" t="s">
        <v>69</v>
      </c>
      <c r="D17" s="31">
        <v>12800</v>
      </c>
      <c r="E17" s="44"/>
      <c r="F17" s="44"/>
      <c r="G17" s="59"/>
      <c r="H17" s="56"/>
    </row>
    <row r="18" spans="1:8" s="36" customFormat="1" x14ac:dyDescent="0.35">
      <c r="A18" s="49">
        <v>45534</v>
      </c>
      <c r="B18" s="28" t="s">
        <v>70</v>
      </c>
      <c r="C18" s="9" t="s">
        <v>60</v>
      </c>
      <c r="D18" s="31">
        <v>7133</v>
      </c>
      <c r="E18" s="44"/>
      <c r="F18" s="44"/>
      <c r="G18" s="59"/>
      <c r="H18" s="56"/>
    </row>
    <row r="19" spans="1:8" s="36" customFormat="1" x14ac:dyDescent="0.35">
      <c r="A19" s="49">
        <v>45537</v>
      </c>
      <c r="B19" s="28" t="s">
        <v>71</v>
      </c>
      <c r="C19" s="28" t="s">
        <v>72</v>
      </c>
      <c r="D19" s="31">
        <v>590</v>
      </c>
      <c r="E19" s="44" t="s">
        <v>73</v>
      </c>
      <c r="F19" s="44"/>
      <c r="G19" s="60"/>
      <c r="H19" s="56"/>
    </row>
    <row r="20" spans="1:8" s="36" customFormat="1" x14ac:dyDescent="0.35">
      <c r="A20" s="49">
        <v>45540</v>
      </c>
      <c r="B20" s="28" t="s">
        <v>74</v>
      </c>
      <c r="C20" s="28" t="s">
        <v>75</v>
      </c>
      <c r="D20" s="31">
        <v>1266</v>
      </c>
      <c r="E20" s="44"/>
      <c r="F20" s="44"/>
      <c r="G20" s="60"/>
      <c r="H20" s="56"/>
    </row>
    <row r="21" spans="1:8" s="36" customFormat="1" x14ac:dyDescent="0.35">
      <c r="A21" s="49">
        <v>45541</v>
      </c>
      <c r="B21" s="28" t="s">
        <v>76</v>
      </c>
      <c r="C21" s="28" t="s">
        <v>72</v>
      </c>
      <c r="D21" s="31">
        <v>908</v>
      </c>
      <c r="E21" s="44" t="s">
        <v>65</v>
      </c>
      <c r="F21" s="44"/>
      <c r="G21" s="60"/>
      <c r="H21" s="56"/>
    </row>
    <row r="22" spans="1:8" s="36" customFormat="1" x14ac:dyDescent="0.35">
      <c r="A22" s="49">
        <v>45547</v>
      </c>
      <c r="B22" s="28">
        <v>2040116</v>
      </c>
      <c r="C22" s="9" t="s">
        <v>77</v>
      </c>
      <c r="D22" s="31">
        <v>27163</v>
      </c>
      <c r="E22" s="44"/>
      <c r="F22" s="44"/>
      <c r="G22" s="60"/>
      <c r="H22" s="56"/>
    </row>
    <row r="23" spans="1:8" s="36" customFormat="1" x14ac:dyDescent="0.35">
      <c r="A23" s="49">
        <v>45547</v>
      </c>
      <c r="B23" s="28">
        <v>2410725565</v>
      </c>
      <c r="C23" s="9" t="s">
        <v>78</v>
      </c>
      <c r="D23" s="31">
        <v>34220</v>
      </c>
      <c r="E23" s="44"/>
      <c r="F23" s="44"/>
      <c r="G23" s="60"/>
      <c r="H23" s="56"/>
    </row>
    <row r="24" spans="1:8" s="36" customFormat="1" x14ac:dyDescent="0.35">
      <c r="A24" s="49">
        <v>45547</v>
      </c>
      <c r="B24" s="28">
        <v>2110812616</v>
      </c>
      <c r="C24" s="9" t="s">
        <v>78</v>
      </c>
      <c r="D24" s="31">
        <v>178073.8</v>
      </c>
      <c r="E24" s="44"/>
      <c r="F24" s="44"/>
      <c r="G24" s="60"/>
      <c r="H24" s="56"/>
    </row>
    <row r="25" spans="1:8" s="36" customFormat="1" ht="19" customHeight="1" x14ac:dyDescent="0.35">
      <c r="A25" s="52">
        <v>45556</v>
      </c>
      <c r="B25" s="28" t="s">
        <v>79</v>
      </c>
      <c r="C25" s="46" t="s">
        <v>80</v>
      </c>
      <c r="D25" s="50">
        <v>33866</v>
      </c>
      <c r="E25" s="9"/>
      <c r="F25" s="9"/>
      <c r="G25" s="28"/>
      <c r="H25" s="56"/>
    </row>
    <row r="26" spans="1:8" s="36" customFormat="1" x14ac:dyDescent="0.35">
      <c r="A26" s="52">
        <v>45563</v>
      </c>
      <c r="B26" s="9" t="s">
        <v>81</v>
      </c>
      <c r="C26" s="9" t="s">
        <v>75</v>
      </c>
      <c r="D26" s="31">
        <v>1342</v>
      </c>
      <c r="E26" s="9"/>
      <c r="F26" s="9"/>
      <c r="G26" s="52"/>
      <c r="H26" s="56"/>
    </row>
    <row r="27" spans="1:8" s="36" customFormat="1" x14ac:dyDescent="0.35">
      <c r="A27" s="51">
        <v>45573</v>
      </c>
      <c r="B27" s="28">
        <v>1063</v>
      </c>
      <c r="C27" s="9" t="s">
        <v>82</v>
      </c>
      <c r="D27" s="31">
        <v>17966</v>
      </c>
      <c r="E27" s="9"/>
      <c r="F27" s="9"/>
      <c r="G27" s="52"/>
      <c r="H27" s="56"/>
    </row>
    <row r="28" spans="1:8" s="36" customFormat="1" ht="14" customHeight="1" x14ac:dyDescent="0.35">
      <c r="A28" s="52" t="s">
        <v>83</v>
      </c>
      <c r="B28" s="28" t="s">
        <v>84</v>
      </c>
      <c r="C28" s="28" t="s">
        <v>85</v>
      </c>
      <c r="D28" s="53">
        <v>23000</v>
      </c>
      <c r="E28" s="9"/>
      <c r="F28" s="9"/>
      <c r="G28" s="52"/>
      <c r="H28" s="56"/>
    </row>
    <row r="29" spans="1:8" s="36" customFormat="1" x14ac:dyDescent="0.35">
      <c r="A29" s="49" t="s">
        <v>86</v>
      </c>
      <c r="B29" s="28">
        <v>2543</v>
      </c>
      <c r="C29" s="9" t="s">
        <v>87</v>
      </c>
      <c r="D29" s="53">
        <v>4626</v>
      </c>
      <c r="E29" s="9"/>
      <c r="F29" s="9"/>
      <c r="G29" s="31"/>
      <c r="H29" s="56"/>
    </row>
    <row r="30" spans="1:8" s="36" customFormat="1" x14ac:dyDescent="0.35">
      <c r="A30" s="54">
        <v>45637</v>
      </c>
      <c r="B30" s="9" t="s">
        <v>88</v>
      </c>
      <c r="C30" s="61" t="s">
        <v>89</v>
      </c>
      <c r="D30" s="55">
        <v>40000</v>
      </c>
      <c r="E30" s="62"/>
      <c r="F30" s="62"/>
      <c r="G30" s="52"/>
      <c r="H30" s="9"/>
    </row>
    <row r="31" spans="1:8" s="36" customFormat="1" x14ac:dyDescent="0.35">
      <c r="A31" s="38" t="s">
        <v>33</v>
      </c>
      <c r="B31" s="28" t="s">
        <v>34</v>
      </c>
      <c r="C31" s="28" t="s">
        <v>35</v>
      </c>
      <c r="D31" s="31">
        <v>29500</v>
      </c>
      <c r="E31" s="9"/>
      <c r="F31" s="9" t="s">
        <v>36</v>
      </c>
      <c r="G31" s="52"/>
      <c r="H31" s="9"/>
    </row>
    <row r="32" spans="1:8" s="36" customFormat="1" x14ac:dyDescent="0.35">
      <c r="A32" s="52" t="s">
        <v>90</v>
      </c>
      <c r="B32" s="9">
        <v>4247</v>
      </c>
      <c r="C32" s="9" t="s">
        <v>91</v>
      </c>
      <c r="D32" s="31">
        <v>750</v>
      </c>
      <c r="E32" s="9"/>
      <c r="F32" s="9"/>
      <c r="G32" s="52"/>
      <c r="H32" s="56"/>
    </row>
    <row r="33" spans="1:8" s="36" customFormat="1" ht="13.5" customHeight="1" x14ac:dyDescent="0.35">
      <c r="A33" s="52" t="s">
        <v>37</v>
      </c>
      <c r="B33" s="9" t="s">
        <v>38</v>
      </c>
      <c r="C33" s="9" t="s">
        <v>35</v>
      </c>
      <c r="D33" s="31">
        <v>157530</v>
      </c>
      <c r="E33" s="9"/>
      <c r="F33" s="9"/>
      <c r="G33" s="52"/>
      <c r="H33" s="56"/>
    </row>
    <row r="34" spans="1:8" s="36" customFormat="1" x14ac:dyDescent="0.35">
      <c r="A34" s="38">
        <v>45872</v>
      </c>
      <c r="B34" s="9" t="s">
        <v>39</v>
      </c>
      <c r="C34" s="9" t="s">
        <v>35</v>
      </c>
      <c r="D34" s="31">
        <v>41772</v>
      </c>
      <c r="E34" s="9"/>
      <c r="F34" s="9"/>
      <c r="G34" s="52"/>
      <c r="H34" s="56"/>
    </row>
    <row r="35" spans="1:8" s="36" customFormat="1" x14ac:dyDescent="0.35">
      <c r="A35" s="38">
        <v>45872</v>
      </c>
      <c r="B35" s="9" t="s">
        <v>40</v>
      </c>
      <c r="C35" s="9" t="s">
        <v>35</v>
      </c>
      <c r="D35" s="31">
        <v>34810</v>
      </c>
      <c r="E35" s="9"/>
      <c r="F35" s="9"/>
      <c r="G35" s="52"/>
      <c r="H35" s="56"/>
    </row>
    <row r="36" spans="1:8" s="36" customFormat="1" x14ac:dyDescent="0.35">
      <c r="A36" s="38" t="s">
        <v>92</v>
      </c>
      <c r="B36" s="9" t="s">
        <v>93</v>
      </c>
      <c r="C36" s="9" t="s">
        <v>94</v>
      </c>
      <c r="D36" s="31">
        <v>5068</v>
      </c>
      <c r="E36" s="9"/>
      <c r="F36" s="9"/>
      <c r="G36" s="52"/>
      <c r="H36" s="56" t="s">
        <v>95</v>
      </c>
    </row>
    <row r="37" spans="1:8" s="36" customFormat="1" x14ac:dyDescent="0.35">
      <c r="A37" s="28" t="s">
        <v>28</v>
      </c>
      <c r="B37" s="28" t="s">
        <v>29</v>
      </c>
      <c r="C37" s="9" t="s">
        <v>30</v>
      </c>
      <c r="D37" s="31">
        <v>40651</v>
      </c>
      <c r="E37" s="9"/>
      <c r="F37" s="9"/>
      <c r="G37" s="52"/>
      <c r="H37" s="56"/>
    </row>
    <row r="38" spans="1:8" s="36" customFormat="1" x14ac:dyDescent="0.35">
      <c r="A38" s="28" t="s">
        <v>31</v>
      </c>
      <c r="B38" s="28" t="s">
        <v>32</v>
      </c>
      <c r="C38" s="9" t="s">
        <v>30</v>
      </c>
      <c r="D38" s="31">
        <v>22184</v>
      </c>
      <c r="E38" s="9"/>
      <c r="F38" s="9"/>
      <c r="G38" s="52"/>
      <c r="H38" s="56"/>
    </row>
    <row r="39" spans="1:8" s="36" customFormat="1" x14ac:dyDescent="0.35">
      <c r="A39" s="52" t="s">
        <v>96</v>
      </c>
      <c r="B39" s="9">
        <v>7595</v>
      </c>
      <c r="C39" s="9" t="s">
        <v>97</v>
      </c>
      <c r="D39" s="31">
        <v>7307</v>
      </c>
      <c r="E39" s="9"/>
      <c r="F39" s="9"/>
      <c r="G39" s="52"/>
      <c r="H39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6CC4-5840-47DD-B572-2F81240D9199}">
  <dimension ref="A1:J16"/>
  <sheetViews>
    <sheetView tabSelected="1" workbookViewId="0">
      <selection activeCell="E15" sqref="E15"/>
    </sheetView>
  </sheetViews>
  <sheetFormatPr defaultRowHeight="14.5" x14ac:dyDescent="0.35"/>
  <cols>
    <col min="1" max="1" width="9.54296875" bestFit="1" customWidth="1"/>
    <col min="2" max="2" width="18.7265625" bestFit="1" customWidth="1"/>
    <col min="3" max="3" width="36.1796875" bestFit="1" customWidth="1"/>
    <col min="4" max="4" width="14.6328125" bestFit="1" customWidth="1"/>
    <col min="6" max="6" width="29" bestFit="1" customWidth="1"/>
    <col min="8" max="8" width="14.08984375" bestFit="1" customWidth="1"/>
    <col min="9" max="9" width="12.54296875" bestFit="1" customWidth="1"/>
  </cols>
  <sheetData>
    <row r="1" spans="1:10" s="2" customFormat="1" ht="20" x14ac:dyDescent="0.4">
      <c r="A1" s="1" t="s">
        <v>0</v>
      </c>
      <c r="B1" s="1" t="s">
        <v>1</v>
      </c>
      <c r="C1" s="1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s="7" customFormat="1" ht="15.5" x14ac:dyDescent="0.35">
      <c r="A2" s="3"/>
      <c r="B2" s="4" t="s">
        <v>8</v>
      </c>
      <c r="C2" s="4" t="s">
        <v>9</v>
      </c>
      <c r="D2" s="25">
        <v>172044</v>
      </c>
      <c r="E2" s="5"/>
      <c r="F2" s="5"/>
      <c r="G2" s="5"/>
      <c r="H2" s="5"/>
      <c r="I2" s="6"/>
    </row>
    <row r="3" spans="1:10" s="7" customFormat="1" ht="15.5" x14ac:dyDescent="0.35">
      <c r="A3" s="8"/>
      <c r="B3" s="9" t="s">
        <v>10</v>
      </c>
      <c r="C3" s="4" t="s">
        <v>11</v>
      </c>
      <c r="D3" s="25">
        <v>21240</v>
      </c>
      <c r="E3" s="5"/>
      <c r="F3" s="5"/>
      <c r="G3" s="5"/>
      <c r="H3" s="5"/>
      <c r="I3" s="6"/>
    </row>
    <row r="4" spans="1:10" s="7" customFormat="1" ht="15.5" x14ac:dyDescent="0.35">
      <c r="A4" s="8"/>
      <c r="B4" s="9" t="s">
        <v>12</v>
      </c>
      <c r="C4" s="4" t="s">
        <v>13</v>
      </c>
      <c r="D4" s="25"/>
      <c r="E4" s="5"/>
      <c r="F4" s="5"/>
      <c r="G4" s="5"/>
      <c r="H4" s="5"/>
      <c r="I4" s="6"/>
    </row>
    <row r="5" spans="1:10" s="16" customFormat="1" x14ac:dyDescent="0.35">
      <c r="A5" s="10" t="s">
        <v>14</v>
      </c>
      <c r="B5" s="11" t="s">
        <v>15</v>
      </c>
      <c r="C5" s="12" t="s">
        <v>16</v>
      </c>
      <c r="D5" s="26">
        <v>173884.79999999999</v>
      </c>
      <c r="E5" s="13" t="s">
        <v>17</v>
      </c>
      <c r="F5" s="14">
        <v>45600</v>
      </c>
      <c r="G5" s="27" t="s">
        <v>18</v>
      </c>
      <c r="H5" s="13">
        <f>D5-G5</f>
        <v>24329.799999999988</v>
      </c>
      <c r="I5" s="15"/>
    </row>
    <row r="6" spans="1:10" s="16" customFormat="1" ht="15.5" x14ac:dyDescent="0.35">
      <c r="A6" s="17">
        <v>45962</v>
      </c>
      <c r="B6" s="27" t="s">
        <v>19</v>
      </c>
      <c r="C6" s="18" t="s">
        <v>20</v>
      </c>
      <c r="D6" s="19">
        <v>90152</v>
      </c>
      <c r="E6" s="13" t="s">
        <v>17</v>
      </c>
      <c r="F6" s="14">
        <v>45671</v>
      </c>
      <c r="G6" s="13">
        <v>76400</v>
      </c>
      <c r="H6" s="20">
        <f>D6-G6</f>
        <v>13752</v>
      </c>
      <c r="I6" s="13" t="s">
        <v>21</v>
      </c>
      <c r="J6" s="15"/>
    </row>
    <row r="7" spans="1:10" s="7" customFormat="1" x14ac:dyDescent="0.3">
      <c r="A7" s="21">
        <v>45750</v>
      </c>
      <c r="B7" s="9" t="s">
        <v>22</v>
      </c>
      <c r="C7" s="5" t="s">
        <v>13</v>
      </c>
      <c r="D7" s="22">
        <v>388290.80000000005</v>
      </c>
      <c r="E7" s="5"/>
      <c r="F7" s="5"/>
      <c r="G7" s="5"/>
      <c r="H7" s="23"/>
      <c r="I7" s="6"/>
      <c r="J7" s="6"/>
    </row>
    <row r="8" spans="1:10" s="7" customFormat="1" ht="15" thickBot="1" x14ac:dyDescent="0.35">
      <c r="A8" s="5" t="s">
        <v>23</v>
      </c>
      <c r="B8" s="9" t="s">
        <v>24</v>
      </c>
      <c r="C8" s="5" t="s">
        <v>13</v>
      </c>
      <c r="D8" s="22">
        <v>218288.2</v>
      </c>
      <c r="E8" s="5"/>
      <c r="F8" s="5"/>
      <c r="G8" s="5"/>
      <c r="H8" s="23"/>
      <c r="I8" s="6"/>
      <c r="J8" s="6"/>
    </row>
    <row r="9" spans="1:10" s="7" customFormat="1" ht="15" thickBot="1" x14ac:dyDescent="0.35">
      <c r="A9" s="21">
        <v>45661</v>
      </c>
      <c r="B9" s="9" t="s">
        <v>104</v>
      </c>
      <c r="C9" s="5" t="s">
        <v>13</v>
      </c>
      <c r="D9" s="74">
        <v>142142.79999999999</v>
      </c>
      <c r="E9" s="5"/>
      <c r="F9" s="5"/>
      <c r="G9" s="5"/>
      <c r="H9" s="23"/>
      <c r="I9" s="6"/>
      <c r="J9" s="6"/>
    </row>
    <row r="10" spans="1:10" s="7" customFormat="1" ht="15" thickBot="1" x14ac:dyDescent="0.35">
      <c r="A10" s="21">
        <v>45661</v>
      </c>
      <c r="B10" s="9" t="s">
        <v>105</v>
      </c>
      <c r="C10" s="5" t="s">
        <v>13</v>
      </c>
      <c r="D10" s="75">
        <v>96689.2</v>
      </c>
      <c r="E10" s="5"/>
      <c r="F10" s="5"/>
      <c r="G10" s="5"/>
      <c r="H10" s="23"/>
      <c r="I10" s="6"/>
      <c r="J10" s="6"/>
    </row>
    <row r="11" spans="1:10" ht="15" thickBot="1" x14ac:dyDescent="0.4">
      <c r="A11" s="21">
        <v>45934</v>
      </c>
      <c r="B11" s="9" t="s">
        <v>106</v>
      </c>
      <c r="C11" s="5" t="s">
        <v>13</v>
      </c>
      <c r="D11" s="75">
        <v>30444</v>
      </c>
    </row>
    <row r="12" spans="1:10" ht="15" thickBot="1" x14ac:dyDescent="0.4">
      <c r="A12" s="73">
        <v>45965</v>
      </c>
      <c r="B12" s="28" t="s">
        <v>107</v>
      </c>
      <c r="C12" s="5" t="s">
        <v>13</v>
      </c>
      <c r="D12" s="75">
        <v>111533.6</v>
      </c>
    </row>
    <row r="13" spans="1:10" x14ac:dyDescent="0.35">
      <c r="A13" s="76" t="s">
        <v>108</v>
      </c>
      <c r="B13" s="28" t="s">
        <v>109</v>
      </c>
      <c r="C13" s="5" t="s">
        <v>13</v>
      </c>
      <c r="D13" s="77">
        <v>224827.76</v>
      </c>
      <c r="E13" s="5"/>
    </row>
    <row r="14" spans="1:10" x14ac:dyDescent="0.35">
      <c r="A14" s="76" t="s">
        <v>110</v>
      </c>
      <c r="B14" s="28" t="s">
        <v>111</v>
      </c>
      <c r="C14" s="5" t="s">
        <v>13</v>
      </c>
      <c r="D14" s="77">
        <v>7694.7800000000007</v>
      </c>
      <c r="E14" s="5"/>
    </row>
    <row r="15" spans="1:10" x14ac:dyDescent="0.35">
      <c r="A15" s="5" t="s">
        <v>113</v>
      </c>
      <c r="B15" s="28" t="s">
        <v>112</v>
      </c>
      <c r="C15" s="5" t="s">
        <v>13</v>
      </c>
      <c r="D15" s="77">
        <v>5876.4</v>
      </c>
    </row>
    <row r="16" spans="1:10" x14ac:dyDescent="0.35">
      <c r="D16" s="78">
        <f>SUM(D2:D15)</f>
        <v>1683108.34</v>
      </c>
    </row>
  </sheetData>
  <conditionalFormatting sqref="B11:B12">
    <cfRule type="duplicateValues" dxfId="2" priority="3"/>
  </conditionalFormatting>
  <conditionalFormatting sqref="B13:B14">
    <cfRule type="duplicateValues" dxfId="1" priority="2"/>
  </conditionalFormatting>
  <conditionalFormatting sqref="B15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Outstanding 25-26</vt:lpstr>
      <vt:lpstr>Sheet2</vt:lpstr>
      <vt:lpstr>Sales outsanding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2025-04-08T07:16:38Z</dcterms:created>
  <dcterms:modified xsi:type="dcterms:W3CDTF">2025-04-24T07:12:52Z</dcterms:modified>
</cp:coreProperties>
</file>