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P TECHATRONICS 2022-2023\2025-2026\Quotation\"/>
    </mc:Choice>
  </mc:AlternateContent>
  <xr:revisionPtr revIDLastSave="0" documentId="13_ncr:1_{2C1DC641-4355-4A6A-81AB-08701E7DB35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able 1" sheetId="1" r:id="rId1"/>
    <sheet name="Table 2" sheetId="2" r:id="rId2"/>
    <sheet name="Table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" l="1"/>
  <c r="H6" i="2"/>
  <c r="H4" i="2"/>
  <c r="I23" i="2" l="1"/>
  <c r="I24" i="2"/>
  <c r="I25" i="2"/>
  <c r="I22" i="2"/>
  <c r="I39" i="2"/>
  <c r="I40" i="2"/>
  <c r="I41" i="2"/>
  <c r="I38" i="2"/>
  <c r="H5" i="2"/>
  <c r="H7" i="2"/>
  <c r="H8" i="2"/>
  <c r="H9" i="2"/>
  <c r="H10" i="2"/>
  <c r="H11" i="2"/>
  <c r="H12" i="2"/>
  <c r="H13" i="2"/>
  <c r="H3" i="2"/>
  <c r="I47" i="2" l="1"/>
  <c r="I31" i="2"/>
  <c r="I46" i="2"/>
  <c r="I48" i="2" s="1"/>
  <c r="I42" i="2"/>
  <c r="I30" i="2"/>
  <c r="I26" i="2"/>
  <c r="I32" i="2" l="1"/>
</calcChain>
</file>

<file path=xl/sharedStrings.xml><?xml version="1.0" encoding="utf-8"?>
<sst xmlns="http://schemas.openxmlformats.org/spreadsheetml/2006/main" count="181" uniqueCount="109">
  <si>
    <r>
      <rPr>
        <b/>
        <sz val="8.5"/>
        <rFont val="Calibri"/>
        <family val="1"/>
      </rPr>
      <t>AVAILABLE KEYPADS OPTIONS FOR CLIENT SELECTION</t>
    </r>
  </si>
  <si>
    <r>
      <rPr>
        <sz val="8.5"/>
        <color rgb="FFFFFFFF"/>
        <rFont val="Calibri"/>
        <family val="1"/>
      </rPr>
      <t xml:space="preserve">ALPHAPLATE </t>
    </r>
    <r>
      <rPr>
        <sz val="4.5"/>
        <color rgb="FFFFFFFF"/>
        <rFont val="Calibri"/>
        <family val="1"/>
      </rPr>
      <t>- METAL KEYPADS</t>
    </r>
  </si>
  <si>
    <r>
      <rPr>
        <b/>
        <sz val="8.5"/>
        <color rgb="FF001F5F"/>
        <rFont val="Calibri"/>
        <family val="1"/>
      </rPr>
      <t xml:space="preserve">MDT TECHNOLOGIES </t>
    </r>
    <r>
      <rPr>
        <b/>
        <sz val="4.5"/>
        <color rgb="FF001F5F"/>
        <rFont val="Calibri"/>
        <family val="1"/>
      </rPr>
      <t>- KEYPADS</t>
    </r>
  </si>
  <si>
    <r>
      <rPr>
        <b/>
        <sz val="5.5"/>
        <rFont val="Calibri"/>
        <family val="1"/>
      </rPr>
      <t>MDT GLASS TOUCH SERIES</t>
    </r>
  </si>
  <si>
    <t>OPTION -01</t>
  </si>
  <si>
    <t>TRACK RMTS</t>
  </si>
  <si>
    <t>UPTO 5.99M</t>
  </si>
  <si>
    <t>OPTION -02</t>
  </si>
  <si>
    <t>Upto 5.99</t>
  </si>
  <si>
    <t>HD-60G QRF-AC-6 Wire Motor</t>
  </si>
  <si>
    <t>S.no</t>
  </si>
  <si>
    <t>Make / Brand</t>
  </si>
  <si>
    <t>Product Description</t>
  </si>
  <si>
    <t>Qty</t>
  </si>
  <si>
    <t>UOM</t>
  </si>
  <si>
    <t>Price</t>
  </si>
  <si>
    <t>Line Total</t>
  </si>
  <si>
    <t>Image</t>
  </si>
  <si>
    <t>SOLUTION CATEGORY</t>
  </si>
  <si>
    <t>MDT</t>
  </si>
  <si>
    <t>KNX Push Button Smart 86 WITH COLOUR DISPLAY, WHITE GLOSSY FINISH( BE-TAS86.02)</t>
  </si>
  <si>
    <t>No.s</t>
  </si>
  <si>
    <t>Push Button Lite 55 4-Fold, RGBW, white Glossy Finish(BE-TAL5504)</t>
  </si>
  <si>
    <t>2 Gang Frame For keypad(BE-TAL55004)</t>
  </si>
  <si>
    <t>KNX Bus Power Supply 640ma</t>
  </si>
  <si>
    <t>1Home</t>
  </si>
  <si>
    <t>1 Home sever</t>
  </si>
  <si>
    <t>KNX Modular multi-applications ON/OFF controllers (24ch x 16 A outputs)</t>
  </si>
  <si>
    <t>KNX Modular multi-applications ON/OFF controllers (16ch x 16 A outputs)</t>
  </si>
  <si>
    <t>KNX 2*64CH Dali Gateway (2*64 LIGHTS)</t>
  </si>
  <si>
    <t>KNX Bus Cable</t>
  </si>
  <si>
    <t>KNX CABLE 2 PAIR  (R12174)</t>
  </si>
  <si>
    <t>Mtrs</t>
  </si>
  <si>
    <t>Offer price</t>
  </si>
  <si>
    <t>AUTOM CURTAIN- QUOTE</t>
  </si>
  <si>
    <t>AUTOM</t>
  </si>
  <si>
    <t>HD</t>
  </si>
  <si>
    <r>
      <rPr>
        <i/>
        <u/>
        <sz val="12"/>
        <rFont val="Calibri"/>
        <family val="2"/>
        <scheme val="minor"/>
      </rPr>
      <t>Quotation (smart home lighting automation solutions)</t>
    </r>
  </si>
  <si>
    <r>
      <rPr>
        <sz val="12"/>
        <color rgb="FF00448E"/>
        <rFont val="Calibri"/>
        <family val="2"/>
        <scheme val="minor"/>
      </rPr>
      <t>Main Automation Keypad</t>
    </r>
  </si>
  <si>
    <r>
      <rPr>
        <sz val="12"/>
        <color rgb="FF00448E"/>
        <rFont val="Calibri"/>
        <family val="2"/>
        <scheme val="minor"/>
      </rPr>
      <t>Secondary Keypad</t>
    </r>
  </si>
  <si>
    <r>
      <rPr>
        <i/>
        <sz val="12"/>
        <color rgb="FF00448E"/>
        <rFont val="Calibri"/>
        <family val="2"/>
        <scheme val="minor"/>
      </rPr>
      <t>Provision for manual switch board control</t>
    </r>
  </si>
  <si>
    <r>
      <rPr>
        <i/>
        <sz val="12"/>
        <color rgb="FF00448E"/>
        <rFont val="Calibri"/>
        <family val="2"/>
        <scheme val="minor"/>
      </rPr>
      <t>DB PANEL COMPONENTS
(Automation backend )</t>
    </r>
  </si>
  <si>
    <r>
      <rPr>
        <i/>
        <sz val="12"/>
        <color rgb="FF00448E"/>
        <rFont val="Calibri"/>
        <family val="2"/>
        <scheme val="minor"/>
      </rPr>
      <t>64ch-Dali gateway (FOR DALI LIGHTS DIMMING)</t>
    </r>
  </si>
  <si>
    <r>
      <rPr>
        <i/>
        <sz val="12"/>
        <color rgb="FF00448E"/>
        <rFont val="Calibri"/>
        <family val="2"/>
        <scheme val="minor"/>
      </rPr>
      <t>cable</t>
    </r>
  </si>
  <si>
    <r>
      <rPr>
        <sz val="12"/>
        <rFont val="Calibri"/>
        <family val="2"/>
        <scheme val="minor"/>
      </rPr>
      <t xml:space="preserve">HD Silent Heavy Duty </t>
    </r>
    <r>
      <rPr>
        <sz val="12"/>
        <color rgb="FFFF0000"/>
        <rFont val="Calibri"/>
        <family val="2"/>
        <scheme val="minor"/>
      </rPr>
      <t xml:space="preserve">PLEATED </t>
    </r>
    <r>
      <rPr>
        <sz val="12"/>
        <rFont val="Calibri"/>
        <family val="2"/>
        <scheme val="minor"/>
      </rPr>
      <t>Curtain Track With Accessories (M)</t>
    </r>
  </si>
  <si>
    <r>
      <rPr>
        <sz val="12"/>
        <rFont val="Calibri"/>
        <family val="2"/>
        <scheme val="minor"/>
      </rPr>
      <t xml:space="preserve">HD Silent Heavy Duty </t>
    </r>
    <r>
      <rPr>
        <sz val="12"/>
        <color rgb="FFFF0000"/>
        <rFont val="Calibri"/>
        <family val="2"/>
        <scheme val="minor"/>
      </rPr>
      <t xml:space="preserve">PLEATED </t>
    </r>
    <r>
      <rPr>
        <sz val="12"/>
        <rFont val="Calibri"/>
        <family val="2"/>
        <scheme val="minor"/>
      </rPr>
      <t>Curtain Track With Accessories (S)</t>
    </r>
  </si>
  <si>
    <r>
      <rPr>
        <b/>
        <sz val="12"/>
        <rFont val="Calibri"/>
        <family val="1"/>
      </rPr>
      <t>Area</t>
    </r>
  </si>
  <si>
    <r>
      <rPr>
        <b/>
        <sz val="12"/>
        <rFont val="Calibri"/>
        <family val="1"/>
      </rPr>
      <t>ON/OFF
Circuits</t>
    </r>
  </si>
  <si>
    <r>
      <rPr>
        <b/>
        <sz val="12"/>
        <rFont val="Calibri"/>
        <family val="1"/>
      </rPr>
      <t>Fan ON/OFF</t>
    </r>
  </si>
  <si>
    <r>
      <rPr>
        <b/>
        <sz val="12"/>
        <rFont val="Calibri"/>
        <family val="1"/>
      </rPr>
      <t>Dali dimming</t>
    </r>
  </si>
  <si>
    <r>
      <rPr>
        <b/>
        <sz val="12"/>
        <rFont val="Calibri"/>
        <family val="1"/>
      </rPr>
      <t>Main keypad</t>
    </r>
  </si>
  <si>
    <r>
      <rPr>
        <b/>
        <sz val="12"/>
        <rFont val="Calibri"/>
        <family val="1"/>
      </rPr>
      <t>second Keypad</t>
    </r>
  </si>
  <si>
    <r>
      <rPr>
        <b/>
        <sz val="12"/>
        <rFont val="Calibri"/>
        <family val="1"/>
      </rPr>
      <t>Curtain Automation</t>
    </r>
  </si>
  <si>
    <r>
      <rPr>
        <b/>
        <sz val="12"/>
        <rFont val="Calibri"/>
        <family val="1"/>
      </rPr>
      <t>Automation Controller</t>
    </r>
  </si>
  <si>
    <r>
      <rPr>
        <b/>
        <sz val="12"/>
        <rFont val="Calibri"/>
        <family val="1"/>
      </rPr>
      <t>Ground Floor</t>
    </r>
  </si>
  <si>
    <r>
      <rPr>
        <b/>
        <sz val="12"/>
        <rFont val="Calibri"/>
        <family val="1"/>
      </rPr>
      <t>Staircase</t>
    </r>
  </si>
  <si>
    <r>
      <rPr>
        <b/>
        <sz val="12"/>
        <color rgb="FF16365C"/>
        <rFont val="Calibri"/>
        <family val="1"/>
      </rPr>
      <t>Yes</t>
    </r>
  </si>
  <si>
    <r>
      <rPr>
        <b/>
        <sz val="12"/>
        <rFont val="Calibri"/>
        <family val="1"/>
      </rPr>
      <t>Ent. Foyer</t>
    </r>
  </si>
  <si>
    <r>
      <rPr>
        <b/>
        <sz val="12"/>
        <rFont val="Calibri"/>
        <family val="1"/>
      </rPr>
      <t>Guest room</t>
    </r>
  </si>
  <si>
    <r>
      <rPr>
        <b/>
        <sz val="12"/>
        <rFont val="Calibri"/>
        <family val="1"/>
      </rPr>
      <t>Dining Area</t>
    </r>
  </si>
  <si>
    <r>
      <rPr>
        <b/>
        <sz val="12"/>
        <rFont val="Calibri"/>
        <family val="1"/>
      </rPr>
      <t>Living Area</t>
    </r>
  </si>
  <si>
    <r>
      <rPr>
        <b/>
        <sz val="12"/>
        <rFont val="Calibri"/>
        <family val="1"/>
      </rPr>
      <t>Leisure Area</t>
    </r>
  </si>
  <si>
    <r>
      <rPr>
        <b/>
        <sz val="12"/>
        <rFont val="Calibri"/>
        <family val="1"/>
      </rPr>
      <t>Master Bedroom</t>
    </r>
  </si>
  <si>
    <r>
      <rPr>
        <b/>
        <sz val="12"/>
        <rFont val="Calibri"/>
        <family val="1"/>
      </rPr>
      <t>Walk In Closet</t>
    </r>
  </si>
  <si>
    <r>
      <rPr>
        <b/>
        <sz val="12"/>
        <rFont val="Calibri"/>
        <family val="1"/>
      </rPr>
      <t>Master Toilet</t>
    </r>
  </si>
  <si>
    <r>
      <rPr>
        <b/>
        <sz val="12"/>
        <rFont val="Calibri"/>
        <family val="1"/>
      </rPr>
      <t>Kitchen</t>
    </r>
  </si>
  <si>
    <r>
      <rPr>
        <b/>
        <sz val="12"/>
        <rFont val="Calibri"/>
        <family val="1"/>
      </rPr>
      <t>Powder Room</t>
    </r>
  </si>
  <si>
    <r>
      <rPr>
        <b/>
        <sz val="12"/>
        <rFont val="Calibri"/>
        <family val="1"/>
      </rPr>
      <t>Toilet</t>
    </r>
  </si>
  <si>
    <r>
      <rPr>
        <b/>
        <sz val="12"/>
        <rFont val="Calibri"/>
        <family val="1"/>
      </rPr>
      <t>Puja Room</t>
    </r>
  </si>
  <si>
    <r>
      <rPr>
        <b/>
        <sz val="12"/>
        <rFont val="Calibri"/>
        <family val="1"/>
      </rPr>
      <t>First Floor</t>
    </r>
  </si>
  <si>
    <r>
      <rPr>
        <b/>
        <sz val="12"/>
        <rFont val="Calibri"/>
        <family val="1"/>
      </rPr>
      <t>Bedroom -01</t>
    </r>
  </si>
  <si>
    <r>
      <rPr>
        <b/>
        <sz val="12"/>
        <rFont val="Calibri"/>
        <family val="1"/>
      </rPr>
      <t>Balcony</t>
    </r>
  </si>
  <si>
    <r>
      <rPr>
        <b/>
        <sz val="12"/>
        <rFont val="Calibri"/>
        <family val="1"/>
      </rPr>
      <t>Bedroom -02</t>
    </r>
  </si>
  <si>
    <r>
      <rPr>
        <b/>
        <sz val="12"/>
        <rFont val="Calibri"/>
        <family val="1"/>
      </rPr>
      <t>Passage</t>
    </r>
  </si>
  <si>
    <r>
      <rPr>
        <b/>
        <sz val="12"/>
        <rFont val="Calibri"/>
        <family val="1"/>
      </rPr>
      <t>Bedroom -03</t>
    </r>
  </si>
  <si>
    <r>
      <rPr>
        <b/>
        <sz val="12"/>
        <rFont val="Calibri"/>
        <family val="1"/>
      </rPr>
      <t>Bedroom -04</t>
    </r>
  </si>
  <si>
    <r>
      <rPr>
        <b/>
        <sz val="12"/>
        <rFont val="Calibri"/>
        <family val="1"/>
      </rPr>
      <t>Bedroom -05</t>
    </r>
  </si>
  <si>
    <r>
      <rPr>
        <b/>
        <sz val="12"/>
        <rFont val="Calibri"/>
        <family val="1"/>
      </rPr>
      <t>Multimedia Room</t>
    </r>
  </si>
  <si>
    <r>
      <rPr>
        <b/>
        <sz val="12"/>
        <color rgb="FFFF0000"/>
        <rFont val="Calibri"/>
        <family val="1"/>
      </rPr>
      <t>Total Matrix Qty:</t>
    </r>
  </si>
  <si>
    <r>
      <rPr>
        <b/>
        <sz val="12"/>
        <color rgb="FFFF0000"/>
        <rFont val="Calibri"/>
        <family val="1"/>
      </rPr>
      <t>PROJECT MATRIX</t>
    </r>
  </si>
  <si>
    <r>
      <rPr>
        <b/>
        <sz val="12"/>
        <rFont val="Calibri"/>
        <family val="1"/>
      </rPr>
      <t>Phase
cut/ Dimming Circu</t>
    </r>
    <r>
      <rPr>
        <b/>
        <vertAlign val="subscript"/>
        <sz val="12"/>
        <rFont val="Calibri"/>
        <family val="1"/>
      </rPr>
      <t>8</t>
    </r>
    <r>
      <rPr>
        <b/>
        <sz val="12"/>
        <rFont val="Calibri"/>
        <family val="1"/>
      </rPr>
      <t>its</t>
    </r>
  </si>
  <si>
    <r>
      <rPr>
        <b/>
        <sz val="12"/>
        <rFont val="Calibri"/>
        <family val="1"/>
      </rPr>
      <t>BUTTON KEYPAD</t>
    </r>
  </si>
  <si>
    <r>
      <rPr>
        <b/>
        <sz val="12"/>
        <rFont val="Calibri"/>
        <family val="1"/>
      </rPr>
      <t>secondar y
Keypads</t>
    </r>
  </si>
  <si>
    <r>
      <rPr>
        <b/>
        <sz val="12"/>
        <rFont val="Calibri"/>
        <family val="1"/>
      </rPr>
      <t>Curtain Automat</t>
    </r>
  </si>
  <si>
    <r>
      <rPr>
        <b/>
        <sz val="12"/>
        <rFont val="Calibri"/>
        <family val="1"/>
      </rPr>
      <t>Automat ion Controlle</t>
    </r>
  </si>
  <si>
    <r>
      <rPr>
        <b/>
        <u/>
        <sz val="12"/>
        <color rgb="FFFF0000"/>
        <rFont val="Calibri"/>
        <family val="1"/>
      </rPr>
      <t>*NOTE:</t>
    </r>
    <r>
      <rPr>
        <b/>
        <sz val="12"/>
        <color rgb="FFFF0000"/>
        <rFont val="Calibri"/>
        <family val="1"/>
      </rPr>
      <t xml:space="preserve"> </t>
    </r>
    <r>
      <rPr>
        <b/>
        <sz val="12"/>
        <rFont val="Calibri"/>
        <family val="1"/>
      </rPr>
      <t>ON/OFF Circuits are on basic calculation basis &amp; vary as per the actuals light point. Client scope:</t>
    </r>
  </si>
  <si>
    <t>Curtains</t>
  </si>
  <si>
    <t xml:space="preserve">MOTOR &amp;FABRICATED TRACK PRICE (NORMAL RUNNER)(M) </t>
  </si>
  <si>
    <t>Channel &amp; others Accessories</t>
  </si>
  <si>
    <t>MOTOR &amp;FABRICATED TRACK PRICE (NORMAL RUNNER)(S)</t>
  </si>
  <si>
    <t>*Considering 32 Curtains</t>
  </si>
  <si>
    <t>a.</t>
  </si>
  <si>
    <t>b.</t>
  </si>
  <si>
    <t xml:space="preserve"> </t>
  </si>
  <si>
    <t xml:space="preserve"> TOTAL</t>
  </si>
  <si>
    <t>GST @18% EXTRA</t>
  </si>
  <si>
    <t>TOTAL</t>
  </si>
  <si>
    <t>Total</t>
  </si>
  <si>
    <t>[32 x (2a + 2b)]             [32 x (18900 + 5900)]</t>
  </si>
  <si>
    <t>[32 x (1a + 1b)]              [32 x (18900 + 5900)]</t>
  </si>
  <si>
    <t>[32 x (1a + 1b)]            [32 x (19800 + 18000)]</t>
  </si>
  <si>
    <t>[32 x (2a + 2b)]             [32 x (19800 + 18000)]</t>
  </si>
  <si>
    <t>KNX_INTBG8.01 KNX Intensity Brushed Gold 8F</t>
  </si>
  <si>
    <r>
      <rPr>
        <sz val="12"/>
        <color rgb="FF00448E"/>
        <rFont val="Calibri"/>
        <family val="2"/>
      </rPr>
      <t>Main Automation Keypad</t>
    </r>
  </si>
  <si>
    <r>
      <rPr>
        <sz val="12"/>
        <color rgb="FF00448E"/>
        <rFont val="Calibri"/>
        <family val="2"/>
      </rPr>
      <t>Secondary Keypad</t>
    </r>
  </si>
  <si>
    <r>
      <rPr>
        <sz val="12"/>
        <rFont val="Calibri"/>
        <family val="2"/>
      </rPr>
      <t>KNX Intensity Brushed Gold 4F(KNX_INTBG4.01)</t>
    </r>
  </si>
  <si>
    <r>
      <rPr>
        <sz val="12"/>
        <rFont val="Calibri"/>
        <family val="2"/>
      </rPr>
      <t>TENSE</t>
    </r>
  </si>
  <si>
    <t>In lieu of 1</t>
  </si>
  <si>
    <t>In lieu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</si>
</sst>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;[Red]0"/>
  </numFmts>
  <fonts count="31" x14ac:knownFonts="1">
    <font>
      <sz val="10"/>
      <color rgb="FF000000"/>
      <name val="Times New Roman"/>
      <charset val="204"/>
    </font>
    <font>
      <b/>
      <sz val="5.5"/>
      <name val="Calibri"/>
    </font>
    <font>
      <b/>
      <sz val="8.5"/>
      <name val="Calibri"/>
    </font>
    <font>
      <b/>
      <sz val="5.5"/>
      <name val="Calibri"/>
      <family val="1"/>
    </font>
    <font>
      <b/>
      <sz val="8.5"/>
      <name val="Calibri"/>
      <family val="1"/>
    </font>
    <font>
      <sz val="8.5"/>
      <color rgb="FFFFFFFF"/>
      <name val="Calibri"/>
      <family val="1"/>
    </font>
    <font>
      <sz val="4.5"/>
      <color rgb="FFFFFFFF"/>
      <name val="Calibri"/>
      <family val="1"/>
    </font>
    <font>
      <b/>
      <sz val="8.5"/>
      <color rgb="FF001F5F"/>
      <name val="Calibri"/>
      <family val="1"/>
    </font>
    <font>
      <b/>
      <sz val="4.5"/>
      <color rgb="FF001F5F"/>
      <name val="Calibri"/>
      <family val="1"/>
    </font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12"/>
      <name val="Calibri"/>
      <family val="2"/>
    </font>
    <font>
      <b/>
      <sz val="12"/>
      <name val="Calibri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i/>
      <u/>
      <sz val="12"/>
      <name val="Calibri"/>
      <family val="2"/>
      <scheme val="minor"/>
    </font>
    <font>
      <sz val="12"/>
      <color rgb="FF00448E"/>
      <name val="Calibri"/>
      <family val="2"/>
      <scheme val="minor"/>
    </font>
    <font>
      <i/>
      <sz val="12"/>
      <color rgb="FF00448E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16365C"/>
      <name val="Calibri"/>
      <family val="1"/>
    </font>
    <font>
      <b/>
      <sz val="12"/>
      <color rgb="FF16365C"/>
      <name val="Calibri"/>
      <family val="2"/>
    </font>
    <font>
      <b/>
      <sz val="12"/>
      <color rgb="FFFF0000"/>
      <name val="Calibri"/>
      <family val="1"/>
    </font>
    <font>
      <b/>
      <sz val="12"/>
      <color rgb="FFFF0000"/>
      <name val="Calibri"/>
      <family val="2"/>
    </font>
    <font>
      <b/>
      <vertAlign val="subscript"/>
      <sz val="12"/>
      <name val="Calibri"/>
      <family val="1"/>
    </font>
    <font>
      <b/>
      <u/>
      <sz val="12"/>
      <color rgb="FFFF0000"/>
      <name val="Calibri"/>
      <family val="1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448E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0000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47">
    <xf numFmtId="0" fontId="0" fillId="0" borderId="0" xfId="0" applyFill="1" applyBorder="1" applyAlignment="1">
      <alignment horizontal="left" vertical="top"/>
    </xf>
    <xf numFmtId="0" fontId="0" fillId="0" borderId="3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10" fillId="0" borderId="1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14" fillId="0" borderId="1" xfId="0" applyFont="1" applyFill="1" applyBorder="1" applyAlignment="1">
      <alignment horizontal="center" vertical="center"/>
    </xf>
    <xf numFmtId="1" fontId="13" fillId="0" borderId="1" xfId="0" applyNumberFormat="1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textRotation="90" wrapText="1"/>
    </xf>
    <xf numFmtId="0" fontId="11" fillId="0" borderId="1" xfId="0" applyFont="1" applyFill="1" applyBorder="1" applyAlignment="1">
      <alignment horizontal="left" textRotation="90" wrapText="1"/>
    </xf>
    <xf numFmtId="0" fontId="11" fillId="0" borderId="1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wrapText="1"/>
    </xf>
    <xf numFmtId="0" fontId="10" fillId="0" borderId="9" xfId="0" applyFont="1" applyFill="1" applyBorder="1" applyAlignment="1">
      <alignment horizontal="left" wrapText="1"/>
    </xf>
    <xf numFmtId="1" fontId="21" fillId="0" borderId="1" xfId="0" applyNumberFormat="1" applyFont="1" applyFill="1" applyBorder="1" applyAlignment="1">
      <alignment horizontal="center" vertical="top" wrapText="1" shrinkToFit="1"/>
    </xf>
    <xf numFmtId="164" fontId="23" fillId="0" borderId="1" xfId="0" applyNumberFormat="1" applyFont="1" applyFill="1" applyBorder="1" applyAlignment="1">
      <alignment horizontal="center" vertical="top" wrapText="1" shrinkToFit="1"/>
    </xf>
    <xf numFmtId="0" fontId="13" fillId="0" borderId="0" xfId="0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center" vertical="center"/>
    </xf>
    <xf numFmtId="1" fontId="13" fillId="0" borderId="10" xfId="0" applyNumberFormat="1" applyFont="1" applyFill="1" applyBorder="1" applyAlignment="1">
      <alignment horizontal="center" vertical="center" shrinkToFit="1"/>
    </xf>
    <xf numFmtId="0" fontId="14" fillId="0" borderId="0" xfId="0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horizontal="center" vertical="center"/>
    </xf>
    <xf numFmtId="43" fontId="13" fillId="0" borderId="7" xfId="1" applyFont="1" applyFill="1" applyBorder="1" applyAlignment="1">
      <alignment horizontal="center" vertical="center" shrinkToFit="1"/>
    </xf>
    <xf numFmtId="0" fontId="13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1" fontId="13" fillId="0" borderId="1" xfId="0" applyNumberFormat="1" applyFont="1" applyFill="1" applyBorder="1" applyAlignment="1">
      <alignment horizontal="center" vertical="center" wrapText="1" shrinkToFit="1"/>
    </xf>
    <xf numFmtId="43" fontId="13" fillId="0" borderId="7" xfId="1" applyFont="1" applyFill="1" applyBorder="1" applyAlignment="1">
      <alignment horizontal="center" vertical="center" wrapText="1" shrinkToFit="1"/>
    </xf>
    <xf numFmtId="0" fontId="13" fillId="0" borderId="0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43" fontId="14" fillId="0" borderId="7" xfId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 shrinkToFit="1"/>
    </xf>
    <xf numFmtId="43" fontId="13" fillId="0" borderId="2" xfId="1" applyFont="1" applyFill="1" applyBorder="1" applyAlignment="1">
      <alignment horizontal="center" vertical="center" shrinkToFit="1"/>
    </xf>
    <xf numFmtId="1" fontId="13" fillId="0" borderId="0" xfId="0" applyNumberFormat="1" applyFont="1" applyFill="1" applyBorder="1" applyAlignment="1">
      <alignment horizontal="center" vertical="center" shrinkToFit="1"/>
    </xf>
    <xf numFmtId="43" fontId="13" fillId="0" borderId="0" xfId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/>
    </xf>
    <xf numFmtId="0" fontId="15" fillId="0" borderId="1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43" fontId="14" fillId="0" borderId="2" xfId="1" applyFont="1" applyFill="1" applyBorder="1" applyAlignment="1">
      <alignment horizontal="center" vertical="center"/>
    </xf>
    <xf numFmtId="1" fontId="13" fillId="0" borderId="17" xfId="0" applyNumberFormat="1" applyFont="1" applyFill="1" applyBorder="1" applyAlignment="1">
      <alignment horizontal="center" vertical="center" shrinkToFit="1"/>
    </xf>
    <xf numFmtId="0" fontId="13" fillId="0" borderId="17" xfId="0" applyFont="1" applyFill="1" applyBorder="1" applyAlignment="1">
      <alignment horizontal="center" vertical="center"/>
    </xf>
    <xf numFmtId="43" fontId="14" fillId="0" borderId="17" xfId="1" applyFont="1" applyFill="1" applyBorder="1" applyAlignment="1">
      <alignment horizontal="center" vertical="center"/>
    </xf>
    <xf numFmtId="43" fontId="13" fillId="0" borderId="17" xfId="1" applyFont="1" applyFill="1" applyBorder="1" applyAlignment="1">
      <alignment horizontal="center" vertical="center" shrinkToFit="1"/>
    </xf>
    <xf numFmtId="0" fontId="14" fillId="0" borderId="17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1" fontId="13" fillId="0" borderId="17" xfId="0" applyNumberFormat="1" applyFont="1" applyFill="1" applyBorder="1" applyAlignment="1">
      <alignment horizontal="center" vertical="center" wrapText="1" shrinkToFit="1"/>
    </xf>
    <xf numFmtId="0" fontId="13" fillId="0" borderId="17" xfId="0" applyFont="1" applyFill="1" applyBorder="1" applyAlignment="1">
      <alignment horizontal="center" vertical="center" wrapText="1"/>
    </xf>
    <xf numFmtId="43" fontId="14" fillId="0" borderId="17" xfId="1" applyFont="1" applyFill="1" applyBorder="1" applyAlignment="1">
      <alignment horizontal="center" vertical="center" wrapText="1"/>
    </xf>
    <xf numFmtId="43" fontId="13" fillId="0" borderId="17" xfId="1" applyFont="1" applyFill="1" applyBorder="1" applyAlignment="1">
      <alignment horizontal="center" vertical="center" wrapText="1" shrinkToFit="1"/>
    </xf>
    <xf numFmtId="0" fontId="14" fillId="0" borderId="17" xfId="0" applyFont="1" applyFill="1" applyBorder="1" applyAlignment="1">
      <alignment horizontal="left" vertical="center"/>
    </xf>
    <xf numFmtId="0" fontId="13" fillId="0" borderId="18" xfId="0" applyFont="1" applyFill="1" applyBorder="1" applyAlignment="1">
      <alignment horizontal="left" vertical="center"/>
    </xf>
    <xf numFmtId="1" fontId="13" fillId="0" borderId="27" xfId="0" applyNumberFormat="1" applyFont="1" applyFill="1" applyBorder="1" applyAlignment="1">
      <alignment horizontal="center" vertical="center" shrinkToFit="1"/>
    </xf>
    <xf numFmtId="0" fontId="14" fillId="0" borderId="27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43" fontId="14" fillId="0" borderId="27" xfId="1" applyFont="1" applyFill="1" applyBorder="1" applyAlignment="1">
      <alignment horizontal="center" vertical="center"/>
    </xf>
    <xf numFmtId="43" fontId="13" fillId="0" borderId="27" xfId="1" applyFont="1" applyFill="1" applyBorder="1" applyAlignment="1">
      <alignment horizontal="center" vertical="center" shrinkToFit="1"/>
    </xf>
    <xf numFmtId="1" fontId="13" fillId="0" borderId="27" xfId="0" applyNumberFormat="1" applyFont="1" applyFill="1" applyBorder="1" applyAlignment="1">
      <alignment horizontal="center" vertical="center" wrapText="1" shrinkToFit="1"/>
    </xf>
    <xf numFmtId="43" fontId="14" fillId="0" borderId="27" xfId="1" applyFont="1" applyFill="1" applyBorder="1" applyAlignment="1">
      <alignment horizontal="center" vertical="center" wrapText="1"/>
    </xf>
    <xf numFmtId="43" fontId="13" fillId="0" borderId="27" xfId="1" applyFont="1" applyFill="1" applyBorder="1" applyAlignment="1">
      <alignment horizontal="center" vertical="center" wrapText="1" shrinkToFit="1"/>
    </xf>
    <xf numFmtId="0" fontId="13" fillId="0" borderId="27" xfId="0" applyFont="1" applyFill="1" applyBorder="1" applyAlignment="1">
      <alignment horizontal="center" vertical="center" wrapText="1"/>
    </xf>
    <xf numFmtId="0" fontId="14" fillId="0" borderId="32" xfId="0" applyFont="1" applyFill="1" applyBorder="1" applyAlignment="1">
      <alignment horizontal="center" vertical="center"/>
    </xf>
    <xf numFmtId="43" fontId="13" fillId="0" borderId="19" xfId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43" fontId="28" fillId="0" borderId="19" xfId="1" applyFont="1" applyFill="1" applyBorder="1" applyAlignment="1">
      <alignment horizontal="center" vertical="center" shrinkToFit="1"/>
    </xf>
    <xf numFmtId="0" fontId="13" fillId="0" borderId="35" xfId="0" applyFont="1" applyFill="1" applyBorder="1" applyAlignment="1">
      <alignment horizontal="center" vertical="center"/>
    </xf>
    <xf numFmtId="0" fontId="13" fillId="0" borderId="36" xfId="0" applyFont="1" applyFill="1" applyBorder="1" applyAlignment="1">
      <alignment horizontal="center" vertical="center"/>
    </xf>
    <xf numFmtId="43" fontId="13" fillId="0" borderId="37" xfId="1" applyFont="1" applyFill="1" applyBorder="1" applyAlignment="1">
      <alignment horizontal="center" vertical="center" shrinkToFit="1"/>
    </xf>
    <xf numFmtId="43" fontId="13" fillId="0" borderId="38" xfId="1" applyFont="1" applyFill="1" applyBorder="1" applyAlignment="1">
      <alignment horizontal="center" vertical="center" shrinkToFit="1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11" fillId="0" borderId="10" xfId="0" applyFont="1" applyFill="1" applyBorder="1" applyAlignment="1">
      <alignment horizontal="left" vertical="center" wrapText="1"/>
    </xf>
    <xf numFmtId="0" fontId="11" fillId="0" borderId="11" xfId="0" applyFont="1" applyFill="1" applyBorder="1" applyAlignment="1">
      <alignment horizontal="left" vertical="center" wrapText="1"/>
    </xf>
    <xf numFmtId="0" fontId="11" fillId="0" borderId="12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left" wrapText="1"/>
    </xf>
    <xf numFmtId="0" fontId="10" fillId="0" borderId="9" xfId="0" applyFont="1" applyFill="1" applyBorder="1" applyAlignment="1">
      <alignment horizontal="left" wrapText="1"/>
    </xf>
    <xf numFmtId="1" fontId="21" fillId="0" borderId="10" xfId="0" applyNumberFormat="1" applyFont="1" applyFill="1" applyBorder="1" applyAlignment="1">
      <alignment horizontal="center" vertical="center" wrapText="1" shrinkToFit="1"/>
    </xf>
    <xf numFmtId="1" fontId="21" fillId="0" borderId="11" xfId="0" applyNumberFormat="1" applyFont="1" applyFill="1" applyBorder="1" applyAlignment="1">
      <alignment horizontal="center" vertical="center" wrapText="1" shrinkToFit="1"/>
    </xf>
    <xf numFmtId="1" fontId="21" fillId="0" borderId="12" xfId="0" applyNumberFormat="1" applyFont="1" applyFill="1" applyBorder="1" applyAlignment="1">
      <alignment horizontal="center" vertical="center" wrapText="1" shrinkToFit="1"/>
    </xf>
    <xf numFmtId="1" fontId="21" fillId="0" borderId="7" xfId="0" applyNumberFormat="1" applyFont="1" applyFill="1" applyBorder="1" applyAlignment="1">
      <alignment horizontal="center" vertical="top" wrapText="1" shrinkToFit="1"/>
    </xf>
    <xf numFmtId="1" fontId="21" fillId="0" borderId="9" xfId="0" applyNumberFormat="1" applyFont="1" applyFill="1" applyBorder="1" applyAlignment="1">
      <alignment horizontal="center" vertical="top" wrapText="1" shrinkToFit="1"/>
    </xf>
    <xf numFmtId="164" fontId="23" fillId="0" borderId="7" xfId="0" applyNumberFormat="1" applyFont="1" applyFill="1" applyBorder="1" applyAlignment="1">
      <alignment horizontal="center" vertical="top" wrapText="1" shrinkToFit="1"/>
    </xf>
    <xf numFmtId="164" fontId="23" fillId="0" borderId="9" xfId="0" applyNumberFormat="1" applyFont="1" applyFill="1" applyBorder="1" applyAlignment="1">
      <alignment horizontal="center" vertical="top" wrapText="1" shrinkToFit="1"/>
    </xf>
    <xf numFmtId="0" fontId="11" fillId="0" borderId="7" xfId="0" applyFont="1" applyFill="1" applyBorder="1" applyAlignment="1">
      <alignment horizontal="left" vertical="top" wrapText="1"/>
    </xf>
    <xf numFmtId="0" fontId="11" fillId="0" borderId="9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4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28" fillId="0" borderId="13" xfId="0" applyFont="1" applyFill="1" applyBorder="1" applyAlignment="1">
      <alignment horizontal="center" vertical="center"/>
    </xf>
    <xf numFmtId="0" fontId="28" fillId="0" borderId="16" xfId="0" applyFont="1" applyFill="1" applyBorder="1" applyAlignment="1">
      <alignment horizontal="center" vertical="center"/>
    </xf>
    <xf numFmtId="0" fontId="28" fillId="0" borderId="14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4" fillId="0" borderId="17" xfId="0" applyFont="1" applyFill="1" applyBorder="1" applyAlignment="1">
      <alignment horizontal="left" vertical="top"/>
    </xf>
    <xf numFmtId="0" fontId="14" fillId="0" borderId="13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27" fillId="0" borderId="28" xfId="0" applyFont="1" applyFill="1" applyBorder="1" applyAlignment="1">
      <alignment horizontal="right" vertical="center"/>
    </xf>
    <xf numFmtId="0" fontId="27" fillId="0" borderId="29" xfId="0" applyFont="1" applyFill="1" applyBorder="1" applyAlignment="1">
      <alignment horizontal="right" vertical="center"/>
    </xf>
    <xf numFmtId="0" fontId="27" fillId="0" borderId="34" xfId="0" applyFont="1" applyFill="1" applyBorder="1" applyAlignment="1">
      <alignment horizontal="right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7" fillId="0" borderId="28" xfId="0" applyFont="1" applyFill="1" applyBorder="1" applyAlignment="1">
      <alignment horizontal="center" vertical="center"/>
    </xf>
    <xf numFmtId="0" fontId="27" fillId="0" borderId="29" xfId="0" applyFont="1" applyFill="1" applyBorder="1" applyAlignment="1">
      <alignment horizontal="center" vertical="center"/>
    </xf>
    <xf numFmtId="0" fontId="27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top" wrapText="1" indent="9"/>
    </xf>
    <xf numFmtId="0" fontId="2" fillId="2" borderId="9" xfId="0" applyFont="1" applyFill="1" applyBorder="1" applyAlignment="1">
      <alignment horizontal="left" vertical="top" wrapText="1" indent="9"/>
    </xf>
    <xf numFmtId="0" fontId="0" fillId="3" borderId="8" xfId="0" applyFill="1" applyBorder="1" applyAlignment="1">
      <alignment horizontal="left" vertical="top" wrapText="1" indent="5"/>
    </xf>
    <xf numFmtId="0" fontId="0" fillId="0" borderId="7" xfId="0" applyFill="1" applyBorder="1" applyAlignment="1">
      <alignment horizontal="left" vertical="top" wrapText="1" indent="4"/>
    </xf>
    <xf numFmtId="0" fontId="0" fillId="0" borderId="9" xfId="0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left" vertical="top" wrapText="1" indent="18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7" Type="http://schemas.openxmlformats.org/officeDocument/2006/relationships/image" Target="../media/image21.jpeg"/><Relationship Id="rId2" Type="http://schemas.openxmlformats.org/officeDocument/2006/relationships/image" Target="../media/image16.jpeg"/><Relationship Id="rId1" Type="http://schemas.openxmlformats.org/officeDocument/2006/relationships/image" Target="../media/image15.jpeg"/><Relationship Id="rId6" Type="http://schemas.openxmlformats.org/officeDocument/2006/relationships/image" Target="../media/image20.jpeg"/><Relationship Id="rId5" Type="http://schemas.openxmlformats.org/officeDocument/2006/relationships/image" Target="../media/image19.jpeg"/><Relationship Id="rId4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11546</xdr:colOff>
      <xdr:row>38</xdr:row>
      <xdr:rowOff>139560</xdr:rowOff>
    </xdr:from>
    <xdr:ext cx="3986149" cy="235319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6" y="9231605"/>
          <a:ext cx="3986149" cy="23531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292861</xdr:colOff>
      <xdr:row>8</xdr:row>
      <xdr:rowOff>13004</xdr:rowOff>
    </xdr:from>
    <xdr:ext cx="290906" cy="238963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8161" y="2718104"/>
          <a:ext cx="290906" cy="238963"/>
        </a:xfrm>
        <a:prstGeom prst="rect">
          <a:avLst/>
        </a:prstGeom>
      </xdr:spPr>
    </xdr:pic>
    <xdr:clientData/>
  </xdr:oneCellAnchor>
  <xdr:oneCellAnchor>
    <xdr:from>
      <xdr:col>8</xdr:col>
      <xdr:colOff>189992</xdr:colOff>
      <xdr:row>12</xdr:row>
      <xdr:rowOff>34861</xdr:rowOff>
    </xdr:from>
    <xdr:ext cx="380949" cy="229425"/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5292" y="4397311"/>
          <a:ext cx="380949" cy="229425"/>
        </a:xfrm>
        <a:prstGeom prst="rect">
          <a:avLst/>
        </a:prstGeom>
      </xdr:spPr>
    </xdr:pic>
    <xdr:clientData/>
  </xdr:oneCellAnchor>
  <xdr:oneCellAnchor>
    <xdr:from>
      <xdr:col>8</xdr:col>
      <xdr:colOff>184657</xdr:colOff>
      <xdr:row>4</xdr:row>
      <xdr:rowOff>64524</xdr:rowOff>
    </xdr:from>
    <xdr:ext cx="448259" cy="257547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9957" y="1620274"/>
          <a:ext cx="448259" cy="257547"/>
        </a:xfrm>
        <a:prstGeom prst="rect">
          <a:avLst/>
        </a:prstGeom>
      </xdr:spPr>
    </xdr:pic>
    <xdr:clientData/>
  </xdr:oneCellAnchor>
  <xdr:oneCellAnchor>
    <xdr:from>
      <xdr:col>8</xdr:col>
      <xdr:colOff>315594</xdr:colOff>
      <xdr:row>6</xdr:row>
      <xdr:rowOff>52044</xdr:rowOff>
    </xdr:from>
    <xdr:ext cx="220865" cy="223418"/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0894" y="1982444"/>
          <a:ext cx="220865" cy="223418"/>
        </a:xfrm>
        <a:prstGeom prst="rect">
          <a:avLst/>
        </a:prstGeom>
      </xdr:spPr>
    </xdr:pic>
    <xdr:clientData/>
  </xdr:oneCellAnchor>
  <xdr:oneCellAnchor>
    <xdr:from>
      <xdr:col>8</xdr:col>
      <xdr:colOff>306959</xdr:colOff>
      <xdr:row>2</xdr:row>
      <xdr:rowOff>36398</xdr:rowOff>
    </xdr:from>
    <xdr:ext cx="309308" cy="257606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259" y="430098"/>
          <a:ext cx="309308" cy="257606"/>
        </a:xfrm>
        <a:prstGeom prst="rect">
          <a:avLst/>
        </a:prstGeom>
      </xdr:spPr>
    </xdr:pic>
    <xdr:clientData/>
  </xdr:oneCellAnchor>
  <xdr:oneCellAnchor>
    <xdr:from>
      <xdr:col>8</xdr:col>
      <xdr:colOff>154304</xdr:colOff>
      <xdr:row>9</xdr:row>
      <xdr:rowOff>82296</xdr:rowOff>
    </xdr:from>
    <xdr:ext cx="580809" cy="280796"/>
    <xdr:grpSp>
      <xdr:nvGrpSpPr>
        <xdr:cNvPr id="9" name="Group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7164704" y="3117596"/>
          <a:ext cx="580809" cy="280796"/>
          <a:chOff x="0" y="0"/>
          <a:chExt cx="580809" cy="280796"/>
        </a:xfrm>
      </xdr:grpSpPr>
      <xdr:pic>
        <xdr:nvPicPr>
          <xdr:cNvPr id="10" name="image8.png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918" y="0"/>
            <a:ext cx="309803" cy="233045"/>
          </a:xfrm>
          <a:prstGeom prst="rect">
            <a:avLst/>
          </a:prstGeom>
        </xdr:spPr>
      </xdr:pic>
      <xdr:pic>
        <xdr:nvPicPr>
          <xdr:cNvPr id="11" name="image9.png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210"/>
            <a:ext cx="580809" cy="224586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323214</xdr:colOff>
      <xdr:row>11</xdr:row>
      <xdr:rowOff>59855</xdr:rowOff>
    </xdr:from>
    <xdr:ext cx="183400" cy="220306"/>
    <xdr:pic>
      <xdr:nvPicPr>
        <xdr:cNvPr id="13" name="image11.jpe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8514" y="4066705"/>
          <a:ext cx="183400" cy="220306"/>
        </a:xfrm>
        <a:prstGeom prst="rect">
          <a:avLst/>
        </a:prstGeom>
      </xdr:spPr>
    </xdr:pic>
    <xdr:clientData/>
  </xdr:oneCellAnchor>
  <xdr:oneCellAnchor>
    <xdr:from>
      <xdr:col>8</xdr:col>
      <xdr:colOff>310616</xdr:colOff>
      <xdr:row>7</xdr:row>
      <xdr:rowOff>79141</xdr:rowOff>
    </xdr:from>
    <xdr:ext cx="265239" cy="275569"/>
    <xdr:pic>
      <xdr:nvPicPr>
        <xdr:cNvPr id="14" name="image12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5916" y="2352441"/>
          <a:ext cx="265239" cy="275569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34</xdr:row>
      <xdr:rowOff>62865</xdr:rowOff>
    </xdr:from>
    <xdr:ext cx="2317877" cy="240855"/>
    <xdr:pic>
      <xdr:nvPicPr>
        <xdr:cNvPr id="17" name="image15.j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726" y="6603365"/>
          <a:ext cx="2317877" cy="240855"/>
        </a:xfrm>
        <a:prstGeom prst="rect">
          <a:avLst/>
        </a:prstGeom>
      </xdr:spPr>
    </xdr:pic>
    <xdr:clientData/>
  </xdr:oneCellAnchor>
  <xdr:twoCellAnchor>
    <xdr:from>
      <xdr:col>8</xdr:col>
      <xdr:colOff>158750</xdr:colOff>
      <xdr:row>10</xdr:row>
      <xdr:rowOff>76200</xdr:rowOff>
    </xdr:from>
    <xdr:to>
      <xdr:col>8</xdr:col>
      <xdr:colOff>630110</xdr:colOff>
      <xdr:row>10</xdr:row>
      <xdr:rowOff>410324</xdr:rowOff>
    </xdr:to>
    <xdr:pic>
      <xdr:nvPicPr>
        <xdr:cNvPr id="18" name="image10.png">
          <a:extLst>
            <a:ext uri="{FF2B5EF4-FFF2-40B4-BE49-F238E27FC236}">
              <a16:creationId xmlns:a16="http://schemas.microsoft.com/office/drawing/2014/main" id="{6E98435A-EF5D-4E84-9830-45AA0014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4050" y="3606800"/>
          <a:ext cx="471360" cy="334124"/>
        </a:xfrm>
        <a:prstGeom prst="rect">
          <a:avLst/>
        </a:prstGeom>
      </xdr:spPr>
    </xdr:pic>
    <xdr:clientData/>
  </xdr:twoCellAnchor>
  <xdr:oneCellAnchor>
    <xdr:from>
      <xdr:col>8</xdr:col>
      <xdr:colOff>336550</xdr:colOff>
      <xdr:row>3</xdr:row>
      <xdr:rowOff>36942</xdr:rowOff>
    </xdr:from>
    <xdr:ext cx="228600" cy="382450"/>
    <xdr:pic>
      <xdr:nvPicPr>
        <xdr:cNvPr id="19" name="image17.jpeg">
          <a:extLst>
            <a:ext uri="{FF2B5EF4-FFF2-40B4-BE49-F238E27FC236}">
              <a16:creationId xmlns:a16="http://schemas.microsoft.com/office/drawing/2014/main" id="{36284C1E-BB09-4EC3-A99F-15A4D174E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0" y="792592"/>
          <a:ext cx="228600" cy="382450"/>
        </a:xfrm>
        <a:prstGeom prst="rect">
          <a:avLst/>
        </a:prstGeom>
      </xdr:spPr>
    </xdr:pic>
    <xdr:clientData/>
  </xdr:oneCellAnchor>
  <xdr:oneCellAnchor>
    <xdr:from>
      <xdr:col>8</xdr:col>
      <xdr:colOff>317500</xdr:colOff>
      <xdr:row>5</xdr:row>
      <xdr:rowOff>63500</xdr:rowOff>
    </xdr:from>
    <xdr:ext cx="247090" cy="242579"/>
    <xdr:pic>
      <xdr:nvPicPr>
        <xdr:cNvPr id="20" name="image16.jpeg">
          <a:extLst>
            <a:ext uri="{FF2B5EF4-FFF2-40B4-BE49-F238E27FC236}">
              <a16:creationId xmlns:a16="http://schemas.microsoft.com/office/drawing/2014/main" id="{6B262481-24A4-4953-A1DB-862B14E8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0" y="1257300"/>
          <a:ext cx="247090" cy="24257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238633</xdr:colOff>
      <xdr:row>3</xdr:row>
      <xdr:rowOff>71120</xdr:rowOff>
    </xdr:from>
    <xdr:ext cx="4437380" cy="2057400"/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38633" y="547370"/>
          <a:ext cx="4437380" cy="2057400"/>
          <a:chOff x="0" y="0"/>
          <a:chExt cx="4437380" cy="2057400"/>
        </a:xfrm>
      </xdr:grpSpPr>
      <xdr:pic>
        <xdr:nvPicPr>
          <xdr:cNvPr id="19" name="image16.jpeg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77315" cy="820013"/>
          </a:xfrm>
          <a:prstGeom prst="rect">
            <a:avLst/>
          </a:prstGeom>
        </xdr:spPr>
      </xdr:pic>
      <xdr:pic>
        <xdr:nvPicPr>
          <xdr:cNvPr id="20" name="image17.jpeg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17066" y="349859"/>
            <a:ext cx="3019805" cy="170751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268706</xdr:colOff>
      <xdr:row>5</xdr:row>
      <xdr:rowOff>0</xdr:rowOff>
    </xdr:from>
    <xdr:ext cx="4406900" cy="2280285"/>
    <xdr:grpSp>
      <xdr:nvGrpSpPr>
        <xdr:cNvPr id="21" name="Group 2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268706" y="2635250"/>
          <a:ext cx="4406900" cy="2280285"/>
          <a:chOff x="0" y="0"/>
          <a:chExt cx="4406900" cy="2280285"/>
        </a:xfrm>
      </xdr:grpSpPr>
      <xdr:pic>
        <xdr:nvPicPr>
          <xdr:cNvPr id="22" name="image18.jpeg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73505" cy="820293"/>
          </a:xfrm>
          <a:prstGeom prst="rect">
            <a:avLst/>
          </a:prstGeom>
        </xdr:spPr>
      </xdr:pic>
      <xdr:pic>
        <xdr:nvPicPr>
          <xdr:cNvPr id="23" name="image19.jpeg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86992" y="388747"/>
            <a:ext cx="3019805" cy="189141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228600</xdr:colOff>
      <xdr:row>6</xdr:row>
      <xdr:rowOff>0</xdr:rowOff>
    </xdr:from>
    <xdr:ext cx="1377315" cy="1320418"/>
    <xdr:pic>
      <xdr:nvPicPr>
        <xdr:cNvPr id="24" name="image20.jpe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7315" cy="1320418"/>
        </a:xfrm>
        <a:prstGeom prst="rect">
          <a:avLst/>
        </a:prstGeom>
      </xdr:spPr>
    </xdr:pic>
    <xdr:clientData/>
  </xdr:oneCellAnchor>
  <xdr:oneCellAnchor>
    <xdr:from>
      <xdr:col>2</xdr:col>
      <xdr:colOff>222376</xdr:colOff>
      <xdr:row>7</xdr:row>
      <xdr:rowOff>0</xdr:rowOff>
    </xdr:from>
    <xdr:ext cx="3051556" cy="2035175"/>
    <xdr:pic>
      <xdr:nvPicPr>
        <xdr:cNvPr id="25" name="image21.jpe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51556" cy="2035175"/>
        </a:xfrm>
        <a:prstGeom prst="rect">
          <a:avLst/>
        </a:prstGeom>
      </xdr:spPr>
    </xdr:pic>
    <xdr:clientData/>
  </xdr:oneCellAnchor>
  <xdr:oneCellAnchor>
    <xdr:from>
      <xdr:col>1</xdr:col>
      <xdr:colOff>347879</xdr:colOff>
      <xdr:row>8</xdr:row>
      <xdr:rowOff>0</xdr:rowOff>
    </xdr:from>
    <xdr:ext cx="3889126" cy="1008783"/>
    <xdr:pic>
      <xdr:nvPicPr>
        <xdr:cNvPr id="26" name="image22.jpe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89126" cy="100878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opLeftCell="A61" zoomScale="110" zoomScaleNormal="110" workbookViewId="0">
      <selection sqref="A1:I52"/>
    </sheetView>
  </sheetViews>
  <sheetFormatPr defaultRowHeight="15.5" x14ac:dyDescent="0.3"/>
  <cols>
    <col min="1" max="1" width="10.19921875" style="4" customWidth="1"/>
    <col min="2" max="2" width="19.296875" style="4" bestFit="1" customWidth="1"/>
    <col min="3" max="3" width="8" style="4" customWidth="1"/>
    <col min="4" max="4" width="7.09765625" style="4" bestFit="1" customWidth="1"/>
    <col min="5" max="5" width="10.59765625" style="4" bestFit="1" customWidth="1"/>
    <col min="6" max="7" width="7.09765625" style="4" bestFit="1" customWidth="1"/>
    <col min="8" max="8" width="4" style="4" customWidth="1"/>
    <col min="9" max="9" width="6.8984375" style="4" customWidth="1"/>
    <col min="10" max="16384" width="8.796875" style="4"/>
  </cols>
  <sheetData>
    <row r="1" spans="1:9" ht="67" customHeight="1" x14ac:dyDescent="0.3">
      <c r="A1" s="3"/>
      <c r="B1" s="7" t="s">
        <v>46</v>
      </c>
      <c r="C1" s="8" t="s">
        <v>47</v>
      </c>
      <c r="D1" s="9" t="s">
        <v>48</v>
      </c>
      <c r="E1" s="9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9" x14ac:dyDescent="0.35">
      <c r="A2" s="76" t="s">
        <v>54</v>
      </c>
      <c r="B2" s="10" t="s">
        <v>55</v>
      </c>
      <c r="C2" s="79"/>
      <c r="D2" s="80"/>
      <c r="E2" s="76" t="s">
        <v>56</v>
      </c>
      <c r="F2" s="11"/>
      <c r="G2" s="11"/>
      <c r="H2" s="11"/>
      <c r="I2" s="81">
        <v>1</v>
      </c>
    </row>
    <row r="3" spans="1:9" x14ac:dyDescent="0.35">
      <c r="A3" s="77"/>
      <c r="B3" s="10" t="s">
        <v>57</v>
      </c>
      <c r="C3" s="84">
        <v>4</v>
      </c>
      <c r="D3" s="85"/>
      <c r="E3" s="77"/>
      <c r="F3" s="13">
        <v>1</v>
      </c>
      <c r="G3" s="11"/>
      <c r="H3" s="11"/>
      <c r="I3" s="82"/>
    </row>
    <row r="4" spans="1:9" x14ac:dyDescent="0.35">
      <c r="A4" s="77"/>
      <c r="B4" s="10" t="s">
        <v>58</v>
      </c>
      <c r="C4" s="84">
        <v>4</v>
      </c>
      <c r="D4" s="85"/>
      <c r="E4" s="77"/>
      <c r="F4" s="13">
        <v>1</v>
      </c>
      <c r="G4" s="11"/>
      <c r="H4" s="13">
        <v>2</v>
      </c>
      <c r="I4" s="82"/>
    </row>
    <row r="5" spans="1:9" x14ac:dyDescent="0.35">
      <c r="A5" s="77"/>
      <c r="B5" s="10" t="s">
        <v>59</v>
      </c>
      <c r="C5" s="84">
        <v>3</v>
      </c>
      <c r="D5" s="85"/>
      <c r="E5" s="77"/>
      <c r="F5" s="11"/>
      <c r="G5" s="13">
        <v>1</v>
      </c>
      <c r="H5" s="13">
        <v>2</v>
      </c>
      <c r="I5" s="82"/>
    </row>
    <row r="6" spans="1:9" x14ac:dyDescent="0.3">
      <c r="A6" s="77"/>
      <c r="B6" s="10" t="s">
        <v>60</v>
      </c>
      <c r="C6" s="84">
        <v>4</v>
      </c>
      <c r="D6" s="85"/>
      <c r="E6" s="77"/>
      <c r="F6" s="13">
        <v>1</v>
      </c>
      <c r="G6" s="13">
        <v>1</v>
      </c>
      <c r="H6" s="13">
        <v>4</v>
      </c>
      <c r="I6" s="82"/>
    </row>
    <row r="7" spans="1:9" x14ac:dyDescent="0.35">
      <c r="A7" s="77"/>
      <c r="B7" s="10" t="s">
        <v>61</v>
      </c>
      <c r="C7" s="84">
        <v>4</v>
      </c>
      <c r="D7" s="85"/>
      <c r="E7" s="77"/>
      <c r="F7" s="11"/>
      <c r="G7" s="13">
        <v>1</v>
      </c>
      <c r="H7" s="13">
        <v>2</v>
      </c>
      <c r="I7" s="82"/>
    </row>
    <row r="8" spans="1:9" x14ac:dyDescent="0.3">
      <c r="A8" s="77"/>
      <c r="B8" s="10" t="s">
        <v>62</v>
      </c>
      <c r="C8" s="84">
        <v>4</v>
      </c>
      <c r="D8" s="85"/>
      <c r="E8" s="77"/>
      <c r="F8" s="13">
        <v>1</v>
      </c>
      <c r="G8" s="13">
        <v>1</v>
      </c>
      <c r="H8" s="13">
        <v>2</v>
      </c>
      <c r="I8" s="82"/>
    </row>
    <row r="9" spans="1:9" x14ac:dyDescent="0.35">
      <c r="A9" s="77"/>
      <c r="B9" s="10" t="s">
        <v>63</v>
      </c>
      <c r="C9" s="84">
        <v>2</v>
      </c>
      <c r="D9" s="85"/>
      <c r="E9" s="77"/>
      <c r="F9" s="11"/>
      <c r="G9" s="11"/>
      <c r="H9" s="11"/>
      <c r="I9" s="82"/>
    </row>
    <row r="10" spans="1:9" x14ac:dyDescent="0.35">
      <c r="A10" s="77"/>
      <c r="B10" s="10" t="s">
        <v>64</v>
      </c>
      <c r="C10" s="84">
        <v>2</v>
      </c>
      <c r="D10" s="85"/>
      <c r="E10" s="77"/>
      <c r="F10" s="11"/>
      <c r="G10" s="11"/>
      <c r="H10" s="11"/>
      <c r="I10" s="82"/>
    </row>
    <row r="11" spans="1:9" x14ac:dyDescent="0.35">
      <c r="A11" s="77"/>
      <c r="B11" s="10" t="s">
        <v>65</v>
      </c>
      <c r="C11" s="84">
        <v>3</v>
      </c>
      <c r="D11" s="85"/>
      <c r="E11" s="77"/>
      <c r="F11" s="13">
        <v>1</v>
      </c>
      <c r="G11" s="11"/>
      <c r="H11" s="11"/>
      <c r="I11" s="82"/>
    </row>
    <row r="12" spans="1:9" x14ac:dyDescent="0.35">
      <c r="A12" s="77"/>
      <c r="B12" s="10" t="s">
        <v>66</v>
      </c>
      <c r="C12" s="84">
        <v>2</v>
      </c>
      <c r="D12" s="85"/>
      <c r="E12" s="77"/>
      <c r="F12" s="11"/>
      <c r="G12" s="11"/>
      <c r="H12" s="11"/>
      <c r="I12" s="82"/>
    </row>
    <row r="13" spans="1:9" x14ac:dyDescent="0.35">
      <c r="A13" s="77"/>
      <c r="B13" s="10" t="s">
        <v>67</v>
      </c>
      <c r="C13" s="84">
        <v>2</v>
      </c>
      <c r="D13" s="85"/>
      <c r="E13" s="77"/>
      <c r="F13" s="11"/>
      <c r="G13" s="11"/>
      <c r="H13" s="11"/>
      <c r="I13" s="82"/>
    </row>
    <row r="14" spans="1:9" x14ac:dyDescent="0.35">
      <c r="A14" s="78"/>
      <c r="B14" s="10" t="s">
        <v>68</v>
      </c>
      <c r="C14" s="84">
        <v>4</v>
      </c>
      <c r="D14" s="85"/>
      <c r="E14" s="77"/>
      <c r="F14" s="11"/>
      <c r="G14" s="11"/>
      <c r="H14" s="13">
        <v>2</v>
      </c>
      <c r="I14" s="82"/>
    </row>
    <row r="15" spans="1:9" x14ac:dyDescent="0.35">
      <c r="A15" s="76" t="s">
        <v>69</v>
      </c>
      <c r="B15" s="10" t="s">
        <v>55</v>
      </c>
      <c r="C15" s="79"/>
      <c r="D15" s="80"/>
      <c r="E15" s="77"/>
      <c r="F15" s="11"/>
      <c r="G15" s="11"/>
      <c r="H15" s="11"/>
      <c r="I15" s="82"/>
    </row>
    <row r="16" spans="1:9" x14ac:dyDescent="0.3">
      <c r="A16" s="77"/>
      <c r="B16" s="10" t="s">
        <v>70</v>
      </c>
      <c r="C16" s="84">
        <v>4</v>
      </c>
      <c r="D16" s="85"/>
      <c r="E16" s="77"/>
      <c r="F16" s="13">
        <v>1</v>
      </c>
      <c r="G16" s="13">
        <v>1</v>
      </c>
      <c r="H16" s="13">
        <v>4</v>
      </c>
      <c r="I16" s="82"/>
    </row>
    <row r="17" spans="1:9" x14ac:dyDescent="0.35">
      <c r="A17" s="77"/>
      <c r="B17" s="10" t="s">
        <v>71</v>
      </c>
      <c r="C17" s="84">
        <v>2</v>
      </c>
      <c r="D17" s="85"/>
      <c r="E17" s="77"/>
      <c r="F17" s="11"/>
      <c r="G17" s="11"/>
      <c r="H17" s="11"/>
      <c r="I17" s="82"/>
    </row>
    <row r="18" spans="1:9" x14ac:dyDescent="0.35">
      <c r="A18" s="77"/>
      <c r="B18" s="10" t="s">
        <v>63</v>
      </c>
      <c r="C18" s="84">
        <v>2</v>
      </c>
      <c r="D18" s="85"/>
      <c r="E18" s="77"/>
      <c r="F18" s="11"/>
      <c r="G18" s="11"/>
      <c r="H18" s="11"/>
      <c r="I18" s="82"/>
    </row>
    <row r="19" spans="1:9" x14ac:dyDescent="0.35">
      <c r="A19" s="77"/>
      <c r="B19" s="10" t="s">
        <v>67</v>
      </c>
      <c r="C19" s="84">
        <v>2</v>
      </c>
      <c r="D19" s="85"/>
      <c r="E19" s="77"/>
      <c r="F19" s="11"/>
      <c r="G19" s="11"/>
      <c r="H19" s="11"/>
      <c r="I19" s="82"/>
    </row>
    <row r="20" spans="1:9" x14ac:dyDescent="0.3">
      <c r="A20" s="77"/>
      <c r="B20" s="10" t="s">
        <v>72</v>
      </c>
      <c r="C20" s="84">
        <v>4</v>
      </c>
      <c r="D20" s="85"/>
      <c r="E20" s="77"/>
      <c r="F20" s="13">
        <v>1</v>
      </c>
      <c r="G20" s="13">
        <v>1</v>
      </c>
      <c r="H20" s="13">
        <v>4</v>
      </c>
      <c r="I20" s="82"/>
    </row>
    <row r="21" spans="1:9" x14ac:dyDescent="0.35">
      <c r="A21" s="77"/>
      <c r="B21" s="10" t="s">
        <v>71</v>
      </c>
      <c r="C21" s="84">
        <v>2</v>
      </c>
      <c r="D21" s="85"/>
      <c r="E21" s="77"/>
      <c r="F21" s="11"/>
      <c r="G21" s="11"/>
      <c r="H21" s="11"/>
      <c r="I21" s="82"/>
    </row>
    <row r="22" spans="1:9" x14ac:dyDescent="0.35">
      <c r="A22" s="77"/>
      <c r="B22" s="10" t="s">
        <v>63</v>
      </c>
      <c r="C22" s="84">
        <v>2</v>
      </c>
      <c r="D22" s="85"/>
      <c r="E22" s="77"/>
      <c r="F22" s="11"/>
      <c r="G22" s="11"/>
      <c r="H22" s="11"/>
      <c r="I22" s="82"/>
    </row>
    <row r="23" spans="1:9" x14ac:dyDescent="0.35">
      <c r="A23" s="77"/>
      <c r="B23" s="10" t="s">
        <v>67</v>
      </c>
      <c r="C23" s="84">
        <v>2</v>
      </c>
      <c r="D23" s="85"/>
      <c r="E23" s="77"/>
      <c r="F23" s="11"/>
      <c r="G23" s="11"/>
      <c r="H23" s="11"/>
      <c r="I23" s="82"/>
    </row>
    <row r="24" spans="1:9" x14ac:dyDescent="0.35">
      <c r="A24" s="77"/>
      <c r="B24" s="10" t="s">
        <v>73</v>
      </c>
      <c r="C24" s="84">
        <v>3</v>
      </c>
      <c r="D24" s="85"/>
      <c r="E24" s="77"/>
      <c r="F24" s="11"/>
      <c r="G24" s="13">
        <v>1</v>
      </c>
      <c r="H24" s="11"/>
      <c r="I24" s="82"/>
    </row>
    <row r="25" spans="1:9" x14ac:dyDescent="0.3">
      <c r="A25" s="77"/>
      <c r="B25" s="10" t="s">
        <v>74</v>
      </c>
      <c r="C25" s="84">
        <v>4</v>
      </c>
      <c r="D25" s="85"/>
      <c r="E25" s="77"/>
      <c r="F25" s="13">
        <v>1</v>
      </c>
      <c r="G25" s="13">
        <v>1</v>
      </c>
      <c r="H25" s="13">
        <v>2</v>
      </c>
      <c r="I25" s="82"/>
    </row>
    <row r="26" spans="1:9" x14ac:dyDescent="0.35">
      <c r="A26" s="77"/>
      <c r="B26" s="10" t="s">
        <v>63</v>
      </c>
      <c r="C26" s="84">
        <v>2</v>
      </c>
      <c r="D26" s="85"/>
      <c r="E26" s="77"/>
      <c r="F26" s="11"/>
      <c r="G26" s="11"/>
      <c r="H26" s="11"/>
      <c r="I26" s="82"/>
    </row>
    <row r="27" spans="1:9" x14ac:dyDescent="0.35">
      <c r="A27" s="77"/>
      <c r="B27" s="10" t="s">
        <v>67</v>
      </c>
      <c r="C27" s="84">
        <v>2</v>
      </c>
      <c r="D27" s="85"/>
      <c r="E27" s="77"/>
      <c r="F27" s="11"/>
      <c r="G27" s="11"/>
      <c r="H27" s="11"/>
      <c r="I27" s="82"/>
    </row>
    <row r="28" spans="1:9" x14ac:dyDescent="0.3">
      <c r="A28" s="77"/>
      <c r="B28" s="10" t="s">
        <v>75</v>
      </c>
      <c r="C28" s="84">
        <v>4</v>
      </c>
      <c r="D28" s="85"/>
      <c r="E28" s="77"/>
      <c r="F28" s="13">
        <v>1</v>
      </c>
      <c r="G28" s="13">
        <v>1</v>
      </c>
      <c r="H28" s="13">
        <v>2</v>
      </c>
      <c r="I28" s="82"/>
    </row>
    <row r="29" spans="1:9" x14ac:dyDescent="0.35">
      <c r="A29" s="77"/>
      <c r="B29" s="10" t="s">
        <v>63</v>
      </c>
      <c r="C29" s="84">
        <v>2</v>
      </c>
      <c r="D29" s="85"/>
      <c r="E29" s="77"/>
      <c r="F29" s="11"/>
      <c r="G29" s="11"/>
      <c r="H29" s="11"/>
      <c r="I29" s="82"/>
    </row>
    <row r="30" spans="1:9" x14ac:dyDescent="0.35">
      <c r="A30" s="77"/>
      <c r="B30" s="10" t="s">
        <v>67</v>
      </c>
      <c r="C30" s="84">
        <v>2</v>
      </c>
      <c r="D30" s="85"/>
      <c r="E30" s="77"/>
      <c r="F30" s="11"/>
      <c r="G30" s="11"/>
      <c r="H30" s="11"/>
      <c r="I30" s="82"/>
    </row>
    <row r="31" spans="1:9" x14ac:dyDescent="0.3">
      <c r="A31" s="77"/>
      <c r="B31" s="10" t="s">
        <v>76</v>
      </c>
      <c r="C31" s="84">
        <v>4</v>
      </c>
      <c r="D31" s="85"/>
      <c r="E31" s="77"/>
      <c r="F31" s="13">
        <v>1</v>
      </c>
      <c r="G31" s="13">
        <v>1</v>
      </c>
      <c r="H31" s="13">
        <v>2</v>
      </c>
      <c r="I31" s="82"/>
    </row>
    <row r="32" spans="1:9" x14ac:dyDescent="0.35">
      <c r="A32" s="77"/>
      <c r="B32" s="10" t="s">
        <v>63</v>
      </c>
      <c r="C32" s="84">
        <v>2</v>
      </c>
      <c r="D32" s="85"/>
      <c r="E32" s="77"/>
      <c r="F32" s="11"/>
      <c r="G32" s="11"/>
      <c r="H32" s="11"/>
      <c r="I32" s="82"/>
    </row>
    <row r="33" spans="1:9" x14ac:dyDescent="0.35">
      <c r="A33" s="77"/>
      <c r="B33" s="10" t="s">
        <v>67</v>
      </c>
      <c r="C33" s="84">
        <v>2</v>
      </c>
      <c r="D33" s="85"/>
      <c r="E33" s="77"/>
      <c r="F33" s="11"/>
      <c r="G33" s="11"/>
      <c r="H33" s="11"/>
      <c r="I33" s="82"/>
    </row>
    <row r="34" spans="1:9" x14ac:dyDescent="0.3">
      <c r="A34" s="77"/>
      <c r="B34" s="10" t="s">
        <v>77</v>
      </c>
      <c r="C34" s="84">
        <v>3</v>
      </c>
      <c r="D34" s="85"/>
      <c r="E34" s="77"/>
      <c r="F34" s="13">
        <v>1</v>
      </c>
      <c r="G34" s="13">
        <v>1</v>
      </c>
      <c r="H34" s="13">
        <v>4</v>
      </c>
      <c r="I34" s="82"/>
    </row>
    <row r="35" spans="1:9" x14ac:dyDescent="0.35">
      <c r="A35" s="78"/>
      <c r="B35" s="10" t="s">
        <v>71</v>
      </c>
      <c r="C35" s="84">
        <v>2</v>
      </c>
      <c r="D35" s="85"/>
      <c r="E35" s="78"/>
      <c r="F35" s="11"/>
      <c r="G35" s="11"/>
      <c r="H35" s="11"/>
      <c r="I35" s="83"/>
    </row>
    <row r="36" spans="1:9" x14ac:dyDescent="0.35">
      <c r="A36" s="12"/>
      <c r="B36" s="10" t="s">
        <v>78</v>
      </c>
      <c r="C36" s="86">
        <v>90</v>
      </c>
      <c r="D36" s="87"/>
      <c r="E36" s="11"/>
      <c r="F36" s="14">
        <v>11</v>
      </c>
      <c r="G36" s="14">
        <v>11</v>
      </c>
      <c r="H36" s="14">
        <v>32</v>
      </c>
      <c r="I36" s="14">
        <v>1</v>
      </c>
    </row>
    <row r="37" spans="1:9" ht="88.5" customHeight="1" x14ac:dyDescent="0.3">
      <c r="A37" s="88" t="s">
        <v>79</v>
      </c>
      <c r="B37" s="89"/>
      <c r="C37" s="8" t="s">
        <v>47</v>
      </c>
      <c r="D37" s="9" t="s">
        <v>48</v>
      </c>
      <c r="E37" s="8" t="s">
        <v>80</v>
      </c>
      <c r="F37" s="9" t="s">
        <v>81</v>
      </c>
      <c r="G37" s="8" t="s">
        <v>82</v>
      </c>
      <c r="H37" s="9" t="s">
        <v>83</v>
      </c>
      <c r="I37" s="9" t="s">
        <v>84</v>
      </c>
    </row>
    <row r="38" spans="1:9" ht="19.5" customHeight="1" x14ac:dyDescent="0.3">
      <c r="A38" s="90" t="s">
        <v>85</v>
      </c>
      <c r="B38" s="91"/>
      <c r="C38" s="91"/>
      <c r="D38" s="91"/>
      <c r="E38" s="91"/>
      <c r="F38" s="91"/>
      <c r="G38" s="91"/>
      <c r="H38" s="91"/>
      <c r="I38" s="92"/>
    </row>
  </sheetData>
  <mergeCells count="41">
    <mergeCell ref="C35:D35"/>
    <mergeCell ref="C36:D36"/>
    <mergeCell ref="A37:B37"/>
    <mergeCell ref="A38:I38"/>
    <mergeCell ref="C30:D30"/>
    <mergeCell ref="C31:D31"/>
    <mergeCell ref="C32:D32"/>
    <mergeCell ref="C33:D33"/>
    <mergeCell ref="C34:D34"/>
    <mergeCell ref="A15:A35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A2:A14"/>
    <mergeCell ref="C2:D2"/>
    <mergeCell ref="E2:E35"/>
    <mergeCell ref="I2:I35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abSelected="1" topLeftCell="A16" workbookViewId="0">
      <selection activeCell="A17" sqref="A17:XFD49"/>
    </sheetView>
  </sheetViews>
  <sheetFormatPr defaultRowHeight="15.5" x14ac:dyDescent="0.3"/>
  <cols>
    <col min="1" max="1" width="7.796875" style="21" customWidth="1"/>
    <col min="2" max="2" width="15.09765625" style="21" bestFit="1" customWidth="1"/>
    <col min="3" max="3" width="4.296875" style="29" customWidth="1"/>
    <col min="4" max="4" width="43.19921875" style="29" customWidth="1"/>
    <col min="5" max="5" width="5.69921875" style="21" customWidth="1"/>
    <col min="6" max="6" width="6.09765625" style="21" bestFit="1" customWidth="1"/>
    <col min="7" max="7" width="13.19921875" style="34" bestFit="1" customWidth="1"/>
    <col min="8" max="8" width="15" style="34" bestFit="1" customWidth="1"/>
    <col min="9" max="9" width="15" style="21" bestFit="1" customWidth="1"/>
    <col min="10" max="10" width="49.296875" style="15" bestFit="1" customWidth="1"/>
    <col min="11" max="16384" width="8.796875" style="21"/>
  </cols>
  <sheetData>
    <row r="1" spans="1:10" x14ac:dyDescent="0.3">
      <c r="A1" s="117" t="s">
        <v>37</v>
      </c>
      <c r="B1" s="118"/>
      <c r="C1" s="118"/>
      <c r="D1" s="118"/>
      <c r="E1" s="118"/>
      <c r="F1" s="118"/>
      <c r="G1" s="118"/>
      <c r="H1" s="118"/>
      <c r="I1" s="118"/>
      <c r="J1" s="119"/>
    </row>
    <row r="2" spans="1:10" x14ac:dyDescent="0.3">
      <c r="A2" s="5" t="s">
        <v>10</v>
      </c>
      <c r="B2" s="5" t="s">
        <v>11</v>
      </c>
      <c r="C2" s="115" t="s">
        <v>12</v>
      </c>
      <c r="D2" s="116"/>
      <c r="E2" s="5" t="s">
        <v>13</v>
      </c>
      <c r="F2" s="5" t="s">
        <v>14</v>
      </c>
      <c r="G2" s="30" t="s">
        <v>15</v>
      </c>
      <c r="H2" s="30" t="s">
        <v>16</v>
      </c>
      <c r="I2" s="5" t="s">
        <v>17</v>
      </c>
      <c r="J2" s="5" t="s">
        <v>18</v>
      </c>
    </row>
    <row r="3" spans="1:10" ht="28.5" customHeight="1" x14ac:dyDescent="0.3">
      <c r="A3" s="6">
        <v>1</v>
      </c>
      <c r="B3" s="5" t="s">
        <v>19</v>
      </c>
      <c r="C3" s="115" t="s">
        <v>20</v>
      </c>
      <c r="D3" s="116"/>
      <c r="E3" s="6">
        <v>11</v>
      </c>
      <c r="F3" s="5" t="s">
        <v>21</v>
      </c>
      <c r="G3" s="20">
        <v>62000</v>
      </c>
      <c r="H3" s="20">
        <f>G3*E3</f>
        <v>682000</v>
      </c>
      <c r="I3" s="26"/>
      <c r="J3" s="35" t="s">
        <v>38</v>
      </c>
    </row>
    <row r="4" spans="1:10" ht="34.5" customHeight="1" x14ac:dyDescent="0.3">
      <c r="A4" s="23" t="s">
        <v>107</v>
      </c>
      <c r="B4" s="5" t="s">
        <v>106</v>
      </c>
      <c r="C4" s="115" t="s">
        <v>102</v>
      </c>
      <c r="D4" s="116"/>
      <c r="E4" s="6">
        <v>11</v>
      </c>
      <c r="F4" s="5" t="s">
        <v>21</v>
      </c>
      <c r="G4" s="20">
        <v>96000</v>
      </c>
      <c r="H4" s="20">
        <f>G4*E4</f>
        <v>1056000</v>
      </c>
      <c r="I4" s="26"/>
      <c r="J4" s="35" t="s">
        <v>103</v>
      </c>
    </row>
    <row r="5" spans="1:10" s="29" customFormat="1" ht="29.5" customHeight="1" x14ac:dyDescent="0.3">
      <c r="A5" s="23">
        <v>2</v>
      </c>
      <c r="B5" s="22" t="s">
        <v>19</v>
      </c>
      <c r="C5" s="115" t="s">
        <v>22</v>
      </c>
      <c r="D5" s="116"/>
      <c r="E5" s="23">
        <v>11</v>
      </c>
      <c r="F5" s="5" t="s">
        <v>21</v>
      </c>
      <c r="G5" s="24">
        <v>30000</v>
      </c>
      <c r="H5" s="24">
        <f t="shared" ref="H5:H13" si="0">G5*E5</f>
        <v>330000</v>
      </c>
      <c r="I5" s="27"/>
      <c r="J5" s="36" t="s">
        <v>39</v>
      </c>
    </row>
    <row r="6" spans="1:10" ht="28.5" customHeight="1" x14ac:dyDescent="0.3">
      <c r="A6" s="23" t="s">
        <v>108</v>
      </c>
      <c r="B6" s="5" t="s">
        <v>106</v>
      </c>
      <c r="C6" s="115" t="s">
        <v>105</v>
      </c>
      <c r="D6" s="116"/>
      <c r="E6" s="6">
        <v>11</v>
      </c>
      <c r="F6" s="5" t="s">
        <v>21</v>
      </c>
      <c r="G6" s="20">
        <v>69000</v>
      </c>
      <c r="H6" s="20">
        <f>G6*E6</f>
        <v>759000</v>
      </c>
      <c r="I6" s="26"/>
      <c r="J6" s="35" t="s">
        <v>104</v>
      </c>
    </row>
    <row r="7" spans="1:10" s="29" customFormat="1" ht="27" customHeight="1" x14ac:dyDescent="0.3">
      <c r="A7" s="23">
        <v>3</v>
      </c>
      <c r="B7" s="22" t="s">
        <v>19</v>
      </c>
      <c r="C7" s="115" t="s">
        <v>23</v>
      </c>
      <c r="D7" s="116"/>
      <c r="E7" s="23">
        <v>11</v>
      </c>
      <c r="F7" s="22" t="s">
        <v>21</v>
      </c>
      <c r="G7" s="24">
        <v>2400</v>
      </c>
      <c r="H7" s="24">
        <f t="shared" si="0"/>
        <v>26400</v>
      </c>
      <c r="I7" s="27"/>
      <c r="J7" s="37" t="s">
        <v>40</v>
      </c>
    </row>
    <row r="8" spans="1:10" ht="34" customHeight="1" x14ac:dyDescent="0.3">
      <c r="A8" s="6">
        <v>4</v>
      </c>
      <c r="B8" s="5" t="s">
        <v>19</v>
      </c>
      <c r="C8" s="115" t="s">
        <v>24</v>
      </c>
      <c r="D8" s="116"/>
      <c r="E8" s="6">
        <v>1</v>
      </c>
      <c r="F8" s="5" t="s">
        <v>21</v>
      </c>
      <c r="G8" s="20">
        <v>82000</v>
      </c>
      <c r="H8" s="20">
        <f t="shared" si="0"/>
        <v>82000</v>
      </c>
      <c r="I8" s="26"/>
      <c r="J8" s="122" t="s">
        <v>41</v>
      </c>
    </row>
    <row r="9" spans="1:10" ht="26" customHeight="1" x14ac:dyDescent="0.3">
      <c r="A9" s="6">
        <v>5</v>
      </c>
      <c r="B9" s="5" t="s">
        <v>25</v>
      </c>
      <c r="C9" s="115" t="s">
        <v>26</v>
      </c>
      <c r="D9" s="116"/>
      <c r="E9" s="6">
        <v>1</v>
      </c>
      <c r="F9" s="5" t="s">
        <v>21</v>
      </c>
      <c r="G9" s="20">
        <v>197800</v>
      </c>
      <c r="H9" s="20">
        <f t="shared" si="0"/>
        <v>197800</v>
      </c>
      <c r="I9" s="26"/>
      <c r="J9" s="123"/>
    </row>
    <row r="10" spans="1:10" ht="39" customHeight="1" x14ac:dyDescent="0.3">
      <c r="A10" s="6">
        <v>7</v>
      </c>
      <c r="B10" s="5" t="s">
        <v>19</v>
      </c>
      <c r="C10" s="115" t="s">
        <v>27</v>
      </c>
      <c r="D10" s="116"/>
      <c r="E10" s="6">
        <v>5</v>
      </c>
      <c r="F10" s="5" t="s">
        <v>21</v>
      </c>
      <c r="G10" s="20">
        <v>187000</v>
      </c>
      <c r="H10" s="20">
        <f t="shared" si="0"/>
        <v>935000</v>
      </c>
      <c r="I10" s="26"/>
      <c r="J10" s="123"/>
    </row>
    <row r="11" spans="1:10" ht="37.5" customHeight="1" x14ac:dyDescent="0.3">
      <c r="A11" s="26"/>
      <c r="B11" s="5" t="s">
        <v>19</v>
      </c>
      <c r="C11" s="115" t="s">
        <v>28</v>
      </c>
      <c r="D11" s="116"/>
      <c r="E11" s="6">
        <v>2</v>
      </c>
      <c r="F11" s="5" t="s">
        <v>21</v>
      </c>
      <c r="G11" s="20">
        <v>138000</v>
      </c>
      <c r="H11" s="20">
        <f t="shared" si="0"/>
        <v>276000</v>
      </c>
      <c r="I11" s="26"/>
      <c r="J11" s="124"/>
    </row>
    <row r="12" spans="1:10" ht="28" customHeight="1" x14ac:dyDescent="0.3">
      <c r="A12" s="6">
        <v>8</v>
      </c>
      <c r="B12" s="5" t="s">
        <v>19</v>
      </c>
      <c r="C12" s="115" t="s">
        <v>29</v>
      </c>
      <c r="D12" s="116"/>
      <c r="E12" s="6">
        <v>1</v>
      </c>
      <c r="F12" s="5" t="s">
        <v>21</v>
      </c>
      <c r="G12" s="20">
        <v>142000</v>
      </c>
      <c r="H12" s="20">
        <f t="shared" si="0"/>
        <v>142000</v>
      </c>
      <c r="I12" s="26"/>
      <c r="J12" s="38" t="s">
        <v>42</v>
      </c>
    </row>
    <row r="13" spans="1:10" ht="23" customHeight="1" thickBot="1" x14ac:dyDescent="0.35">
      <c r="A13" s="17">
        <v>9</v>
      </c>
      <c r="B13" s="16" t="s">
        <v>30</v>
      </c>
      <c r="C13" s="120" t="s">
        <v>31</v>
      </c>
      <c r="D13" s="121"/>
      <c r="E13" s="17">
        <v>915</v>
      </c>
      <c r="F13" s="16" t="s">
        <v>32</v>
      </c>
      <c r="G13" s="32">
        <v>160</v>
      </c>
      <c r="H13" s="32">
        <f t="shared" si="0"/>
        <v>146400</v>
      </c>
      <c r="I13" s="28"/>
      <c r="J13" s="39" t="s">
        <v>43</v>
      </c>
    </row>
    <row r="14" spans="1:10" ht="16" thickBot="1" x14ac:dyDescent="0.35">
      <c r="A14" s="68"/>
      <c r="B14" s="125"/>
      <c r="C14" s="125"/>
      <c r="D14" s="126"/>
      <c r="E14" s="127" t="s">
        <v>97</v>
      </c>
      <c r="F14" s="128"/>
      <c r="G14" s="129"/>
      <c r="H14" s="69">
        <f>SUM(H3:H13)</f>
        <v>4632600</v>
      </c>
      <c r="I14" s="130" t="s">
        <v>33</v>
      </c>
      <c r="J14" s="131"/>
    </row>
    <row r="15" spans="1:10" x14ac:dyDescent="0.3">
      <c r="A15" s="103" t="s">
        <v>95</v>
      </c>
      <c r="B15" s="103"/>
      <c r="C15" s="103"/>
      <c r="D15" s="103"/>
      <c r="E15" s="103"/>
      <c r="F15" s="18"/>
      <c r="G15" s="19"/>
      <c r="H15" s="31"/>
      <c r="I15" s="18"/>
      <c r="J15" s="40"/>
    </row>
    <row r="16" spans="1:10" x14ac:dyDescent="0.3">
      <c r="A16" s="47"/>
      <c r="B16" s="47"/>
      <c r="C16" s="47"/>
      <c r="D16" s="47"/>
      <c r="E16" s="47"/>
      <c r="F16" s="18"/>
      <c r="G16" s="19"/>
      <c r="H16" s="31"/>
      <c r="I16" s="18"/>
      <c r="J16" s="40"/>
    </row>
    <row r="17" spans="1:10" x14ac:dyDescent="0.3">
      <c r="A17" s="108" t="s">
        <v>86</v>
      </c>
      <c r="B17" s="108"/>
      <c r="C17" s="25"/>
      <c r="D17" s="25"/>
      <c r="E17" s="25"/>
      <c r="F17" s="25"/>
      <c r="G17" s="19"/>
      <c r="H17" s="31"/>
      <c r="I17" s="18"/>
      <c r="J17" s="40"/>
    </row>
    <row r="18" spans="1:10" ht="16" thickBot="1" x14ac:dyDescent="0.35">
      <c r="A18" s="25"/>
      <c r="B18" s="25"/>
      <c r="C18" s="25"/>
      <c r="D18" s="25"/>
      <c r="E18" s="25"/>
      <c r="F18" s="25"/>
      <c r="G18" s="19"/>
      <c r="H18" s="31"/>
      <c r="I18" s="18"/>
      <c r="J18" s="40"/>
    </row>
    <row r="19" spans="1:10" ht="16" thickBot="1" x14ac:dyDescent="0.35">
      <c r="A19" s="132" t="s">
        <v>4</v>
      </c>
      <c r="B19" s="133"/>
      <c r="C19" s="134"/>
      <c r="D19" s="135"/>
      <c r="E19" s="135"/>
      <c r="F19" s="135"/>
      <c r="G19" s="135"/>
      <c r="H19" s="135"/>
      <c r="I19" s="135"/>
      <c r="J19" s="135"/>
    </row>
    <row r="20" spans="1:10" ht="16" thickBot="1" x14ac:dyDescent="0.35">
      <c r="A20" s="105" t="s">
        <v>34</v>
      </c>
      <c r="B20" s="106"/>
      <c r="C20" s="106"/>
      <c r="D20" s="107"/>
      <c r="E20" s="135"/>
      <c r="F20" s="135"/>
      <c r="G20" s="135"/>
      <c r="H20" s="135"/>
      <c r="I20" s="135"/>
      <c r="J20" s="135"/>
    </row>
    <row r="21" spans="1:10" x14ac:dyDescent="0.3">
      <c r="A21" s="66" t="s">
        <v>10</v>
      </c>
      <c r="B21" s="66" t="s">
        <v>11</v>
      </c>
      <c r="C21" s="136" t="s">
        <v>12</v>
      </c>
      <c r="D21" s="136"/>
      <c r="E21" s="137"/>
      <c r="F21" s="46" t="s">
        <v>13</v>
      </c>
      <c r="G21" s="44" t="s">
        <v>14</v>
      </c>
      <c r="H21" s="44" t="s">
        <v>15</v>
      </c>
      <c r="I21" s="46" t="s">
        <v>16</v>
      </c>
      <c r="J21" s="55" t="s">
        <v>5</v>
      </c>
    </row>
    <row r="22" spans="1:10" ht="33" customHeight="1" x14ac:dyDescent="0.3">
      <c r="A22" s="42">
        <v>1</v>
      </c>
      <c r="B22" s="137" t="s">
        <v>35</v>
      </c>
      <c r="C22" s="43" t="s">
        <v>91</v>
      </c>
      <c r="D22" s="110" t="s">
        <v>87</v>
      </c>
      <c r="E22" s="110"/>
      <c r="F22" s="42">
        <v>1</v>
      </c>
      <c r="G22" s="44" t="s">
        <v>21</v>
      </c>
      <c r="H22" s="45">
        <v>18900</v>
      </c>
      <c r="I22" s="45">
        <f>H22*F22</f>
        <v>18900</v>
      </c>
      <c r="J22" s="104" t="s">
        <v>6</v>
      </c>
    </row>
    <row r="23" spans="1:10" ht="15.5" customHeight="1" x14ac:dyDescent="0.3">
      <c r="A23" s="42"/>
      <c r="B23" s="137"/>
      <c r="C23" s="43" t="s">
        <v>92</v>
      </c>
      <c r="D23" s="110" t="s">
        <v>88</v>
      </c>
      <c r="E23" s="110"/>
      <c r="F23" s="42">
        <v>1</v>
      </c>
      <c r="G23" s="44" t="s">
        <v>21</v>
      </c>
      <c r="H23" s="45">
        <v>5900</v>
      </c>
      <c r="I23" s="45">
        <f t="shared" ref="I23:I25" si="1">H23*F23</f>
        <v>5900</v>
      </c>
      <c r="J23" s="104"/>
    </row>
    <row r="24" spans="1:10" ht="32" customHeight="1" x14ac:dyDescent="0.3">
      <c r="A24" s="42">
        <v>2</v>
      </c>
      <c r="B24" s="137"/>
      <c r="C24" s="43" t="s">
        <v>91</v>
      </c>
      <c r="D24" s="110" t="s">
        <v>89</v>
      </c>
      <c r="E24" s="110"/>
      <c r="F24" s="42">
        <v>1</v>
      </c>
      <c r="G24" s="44" t="s">
        <v>21</v>
      </c>
      <c r="H24" s="45">
        <v>18900</v>
      </c>
      <c r="I24" s="45">
        <f t="shared" si="1"/>
        <v>18900</v>
      </c>
      <c r="J24" s="104"/>
    </row>
    <row r="25" spans="1:10" ht="16" customHeight="1" thickBot="1" x14ac:dyDescent="0.35">
      <c r="A25" s="57"/>
      <c r="B25" s="58"/>
      <c r="C25" s="59" t="s">
        <v>92</v>
      </c>
      <c r="D25" s="111" t="s">
        <v>88</v>
      </c>
      <c r="E25" s="111"/>
      <c r="F25" s="57">
        <v>1</v>
      </c>
      <c r="G25" s="60" t="s">
        <v>21</v>
      </c>
      <c r="H25" s="61">
        <v>5900</v>
      </c>
      <c r="I25" s="61">
        <f t="shared" si="1"/>
        <v>5900</v>
      </c>
      <c r="J25" s="104"/>
    </row>
    <row r="26" spans="1:10" ht="13.5" customHeight="1" thickBot="1" x14ac:dyDescent="0.35">
      <c r="A26" s="112" t="s">
        <v>94</v>
      </c>
      <c r="B26" s="113"/>
      <c r="C26" s="113"/>
      <c r="D26" s="113"/>
      <c r="E26" s="113"/>
      <c r="F26" s="113"/>
      <c r="G26" s="113"/>
      <c r="H26" s="114"/>
      <c r="I26" s="69">
        <f>SUM(I22:I25)</f>
        <v>49600</v>
      </c>
      <c r="J26" s="56"/>
    </row>
    <row r="27" spans="1:10" ht="13.5" customHeight="1" x14ac:dyDescent="0.3">
      <c r="A27" s="103" t="s">
        <v>95</v>
      </c>
      <c r="B27" s="103"/>
      <c r="C27" s="103"/>
      <c r="D27" s="103"/>
      <c r="E27" s="103"/>
      <c r="F27" s="103"/>
      <c r="G27" s="103"/>
      <c r="H27" s="103"/>
      <c r="I27" s="103"/>
      <c r="J27" s="103"/>
    </row>
    <row r="28" spans="1:10" ht="13.5" customHeight="1" x14ac:dyDescent="0.3">
      <c r="A28" s="47"/>
      <c r="B28" s="47"/>
      <c r="C28" s="47"/>
      <c r="D28" s="47"/>
      <c r="E28" s="47"/>
      <c r="F28" s="47"/>
      <c r="G28" s="47"/>
      <c r="H28" s="47"/>
      <c r="I28" s="75"/>
      <c r="J28" s="47"/>
    </row>
    <row r="29" spans="1:10" ht="13.5" customHeight="1" thickBot="1" x14ac:dyDescent="0.35">
      <c r="A29" s="93" t="s">
        <v>90</v>
      </c>
      <c r="B29" s="93"/>
      <c r="C29" s="93"/>
      <c r="D29" s="93"/>
      <c r="E29" s="93"/>
      <c r="F29" s="93"/>
      <c r="G29" s="93"/>
      <c r="H29" s="18"/>
      <c r="I29" s="31"/>
    </row>
    <row r="30" spans="1:10" ht="13.5" customHeight="1" x14ac:dyDescent="0.3">
      <c r="A30" s="70">
        <v>1</v>
      </c>
      <c r="B30" s="94" t="s">
        <v>99</v>
      </c>
      <c r="C30" s="95"/>
      <c r="D30" s="95"/>
      <c r="E30" s="95"/>
      <c r="F30" s="95"/>
      <c r="G30" s="95"/>
      <c r="H30" s="96"/>
      <c r="I30" s="72">
        <f>32*(I22+I23)</f>
        <v>793600</v>
      </c>
    </row>
    <row r="31" spans="1:10" ht="13.5" customHeight="1" thickBot="1" x14ac:dyDescent="0.35">
      <c r="A31" s="71">
        <v>2</v>
      </c>
      <c r="B31" s="97" t="s">
        <v>98</v>
      </c>
      <c r="C31" s="98"/>
      <c r="D31" s="98"/>
      <c r="E31" s="98"/>
      <c r="F31" s="98"/>
      <c r="G31" s="98"/>
      <c r="H31" s="99"/>
      <c r="I31" s="73">
        <f>32*(I24+I25)</f>
        <v>793600</v>
      </c>
    </row>
    <row r="32" spans="1:10" ht="13.5" customHeight="1" thickBot="1" x14ac:dyDescent="0.35">
      <c r="B32" s="100" t="s">
        <v>97</v>
      </c>
      <c r="C32" s="101"/>
      <c r="D32" s="101"/>
      <c r="E32" s="101"/>
      <c r="F32" s="101"/>
      <c r="G32" s="101"/>
      <c r="H32" s="102"/>
      <c r="I32" s="69">
        <f>SUM(I30:I31)</f>
        <v>1587200</v>
      </c>
    </row>
    <row r="33" spans="1:10" ht="13.5" customHeight="1" x14ac:dyDescent="0.3">
      <c r="A33" s="74" t="s">
        <v>95</v>
      </c>
      <c r="B33" s="74"/>
      <c r="C33" s="74"/>
      <c r="D33" s="74"/>
      <c r="E33" s="74"/>
      <c r="G33" s="21"/>
      <c r="H33" s="21"/>
      <c r="I33" s="33"/>
    </row>
    <row r="34" spans="1:10" ht="13.5" customHeight="1" x14ac:dyDescent="0.3">
      <c r="A34" s="47"/>
      <c r="B34" s="47"/>
      <c r="C34" s="47"/>
      <c r="D34" s="47"/>
      <c r="E34" s="47"/>
      <c r="G34" s="21"/>
      <c r="H34" s="21"/>
      <c r="I34" s="33"/>
    </row>
    <row r="35" spans="1:10" ht="13.5" customHeight="1" thickBot="1" x14ac:dyDescent="0.35">
      <c r="E35" s="18"/>
      <c r="F35" s="18"/>
      <c r="G35" s="19"/>
      <c r="H35" s="19"/>
      <c r="I35" s="33"/>
    </row>
    <row r="36" spans="1:10" ht="16" thickBot="1" x14ac:dyDescent="0.35">
      <c r="A36" s="105" t="s">
        <v>7</v>
      </c>
      <c r="B36" s="107"/>
    </row>
    <row r="37" spans="1:10" x14ac:dyDescent="0.3">
      <c r="A37" s="48" t="s">
        <v>10</v>
      </c>
      <c r="B37" s="49" t="s">
        <v>11</v>
      </c>
      <c r="C37" s="138" t="s">
        <v>12</v>
      </c>
      <c r="D37" s="138"/>
      <c r="E37" s="138"/>
      <c r="F37" s="50" t="s">
        <v>13</v>
      </c>
      <c r="G37" s="41" t="s">
        <v>14</v>
      </c>
      <c r="H37" s="41" t="s">
        <v>15</v>
      </c>
      <c r="I37" s="16" t="s">
        <v>16</v>
      </c>
      <c r="J37" s="35" t="s">
        <v>5</v>
      </c>
    </row>
    <row r="38" spans="1:10" s="29" customFormat="1" ht="31.5" customHeight="1" x14ac:dyDescent="0.3">
      <c r="A38" s="51">
        <v>1</v>
      </c>
      <c r="B38" s="110" t="s">
        <v>36</v>
      </c>
      <c r="C38" s="52" t="s">
        <v>91</v>
      </c>
      <c r="D38" s="109" t="s">
        <v>44</v>
      </c>
      <c r="E38" s="109"/>
      <c r="F38" s="51">
        <v>1</v>
      </c>
      <c r="G38" s="53" t="s">
        <v>21</v>
      </c>
      <c r="H38" s="54">
        <v>19800</v>
      </c>
      <c r="I38" s="54">
        <f>H38*F38</f>
        <v>19800</v>
      </c>
      <c r="J38" s="139" t="s">
        <v>8</v>
      </c>
    </row>
    <row r="39" spans="1:10" s="29" customFormat="1" ht="15.5" customHeight="1" x14ac:dyDescent="0.3">
      <c r="A39" s="51" t="s">
        <v>93</v>
      </c>
      <c r="B39" s="110"/>
      <c r="C39" s="52" t="s">
        <v>92</v>
      </c>
      <c r="D39" s="110" t="s">
        <v>9</v>
      </c>
      <c r="E39" s="110"/>
      <c r="F39" s="51">
        <v>1</v>
      </c>
      <c r="G39" s="53" t="s">
        <v>21</v>
      </c>
      <c r="H39" s="54">
        <v>18000</v>
      </c>
      <c r="I39" s="54">
        <f t="shared" ref="I39:I41" si="2">H39*F39</f>
        <v>18000</v>
      </c>
      <c r="J39" s="140"/>
    </row>
    <row r="40" spans="1:10" s="29" customFormat="1" ht="30.5" customHeight="1" x14ac:dyDescent="0.3">
      <c r="A40" s="51">
        <v>2</v>
      </c>
      <c r="B40" s="110" t="s">
        <v>36</v>
      </c>
      <c r="C40" s="52" t="s">
        <v>91</v>
      </c>
      <c r="D40" s="109" t="s">
        <v>45</v>
      </c>
      <c r="E40" s="109"/>
      <c r="F40" s="51">
        <v>1</v>
      </c>
      <c r="G40" s="53" t="s">
        <v>21</v>
      </c>
      <c r="H40" s="54">
        <v>19800</v>
      </c>
      <c r="I40" s="54">
        <f t="shared" si="2"/>
        <v>19800</v>
      </c>
      <c r="J40" s="139" t="s">
        <v>8</v>
      </c>
    </row>
    <row r="41" spans="1:10" s="29" customFormat="1" ht="15.5" customHeight="1" thickBot="1" x14ac:dyDescent="0.35">
      <c r="A41" s="62" t="s">
        <v>93</v>
      </c>
      <c r="B41" s="111"/>
      <c r="C41" s="65" t="s">
        <v>92</v>
      </c>
      <c r="D41" s="111" t="s">
        <v>9</v>
      </c>
      <c r="E41" s="111"/>
      <c r="F41" s="62">
        <v>1</v>
      </c>
      <c r="G41" s="63" t="s">
        <v>21</v>
      </c>
      <c r="H41" s="64">
        <v>18000</v>
      </c>
      <c r="I41" s="64">
        <f t="shared" si="2"/>
        <v>18000</v>
      </c>
      <c r="J41" s="140"/>
    </row>
    <row r="42" spans="1:10" ht="16" thickBot="1" x14ac:dyDescent="0.35">
      <c r="A42" s="105" t="s">
        <v>96</v>
      </c>
      <c r="B42" s="106"/>
      <c r="C42" s="106"/>
      <c r="D42" s="106"/>
      <c r="E42" s="106"/>
      <c r="F42" s="106"/>
      <c r="G42" s="106"/>
      <c r="H42" s="107"/>
      <c r="I42" s="67">
        <f>SUM(I38:I41)</f>
        <v>75600</v>
      </c>
    </row>
    <row r="43" spans="1:10" x14ac:dyDescent="0.3">
      <c r="A43" s="103" t="s">
        <v>95</v>
      </c>
      <c r="B43" s="103"/>
      <c r="C43" s="103"/>
      <c r="D43" s="103"/>
      <c r="E43" s="103"/>
    </row>
    <row r="45" spans="1:10" ht="16" thickBot="1" x14ac:dyDescent="0.35">
      <c r="A45" s="93" t="s">
        <v>90</v>
      </c>
      <c r="B45" s="93"/>
      <c r="C45" s="93"/>
      <c r="D45" s="93"/>
      <c r="E45" s="93"/>
      <c r="F45" s="93"/>
      <c r="G45" s="93"/>
      <c r="H45" s="18"/>
      <c r="I45" s="31"/>
    </row>
    <row r="46" spans="1:10" x14ac:dyDescent="0.3">
      <c r="A46" s="70">
        <v>1</v>
      </c>
      <c r="B46" s="94" t="s">
        <v>100</v>
      </c>
      <c r="C46" s="95"/>
      <c r="D46" s="95"/>
      <c r="E46" s="95"/>
      <c r="F46" s="95"/>
      <c r="G46" s="95"/>
      <c r="H46" s="96"/>
      <c r="I46" s="72">
        <f>32*(I38+I39)</f>
        <v>1209600</v>
      </c>
    </row>
    <row r="47" spans="1:10" ht="16" thickBot="1" x14ac:dyDescent="0.35">
      <c r="A47" s="71">
        <v>2</v>
      </c>
      <c r="B47" s="97" t="s">
        <v>101</v>
      </c>
      <c r="C47" s="98"/>
      <c r="D47" s="98"/>
      <c r="E47" s="98"/>
      <c r="F47" s="98"/>
      <c r="G47" s="98"/>
      <c r="H47" s="99"/>
      <c r="I47" s="73">
        <f>32*(I40+I41)</f>
        <v>1209600</v>
      </c>
    </row>
    <row r="48" spans="1:10" ht="16" thickBot="1" x14ac:dyDescent="0.35">
      <c r="B48" s="100" t="s">
        <v>97</v>
      </c>
      <c r="C48" s="101"/>
      <c r="D48" s="101"/>
      <c r="E48" s="101"/>
      <c r="F48" s="101"/>
      <c r="G48" s="101"/>
      <c r="H48" s="102"/>
      <c r="I48" s="69">
        <f>SUM(I46:I47)</f>
        <v>2419200</v>
      </c>
    </row>
    <row r="49" spans="1:9" x14ac:dyDescent="0.3">
      <c r="A49" s="103" t="s">
        <v>95</v>
      </c>
      <c r="B49" s="103"/>
      <c r="C49" s="103"/>
      <c r="D49" s="103"/>
      <c r="E49" s="103"/>
      <c r="G49" s="21"/>
      <c r="H49" s="21"/>
      <c r="I49" s="33"/>
    </row>
  </sheetData>
  <mergeCells count="54">
    <mergeCell ref="A36:B36"/>
    <mergeCell ref="C37:E37"/>
    <mergeCell ref="B38:B39"/>
    <mergeCell ref="J38:J39"/>
    <mergeCell ref="B40:B41"/>
    <mergeCell ref="J40:J41"/>
    <mergeCell ref="D41:E41"/>
    <mergeCell ref="J8:J11"/>
    <mergeCell ref="C9:D9"/>
    <mergeCell ref="C10:D10"/>
    <mergeCell ref="C11:D11"/>
    <mergeCell ref="B14:D14"/>
    <mergeCell ref="E14:G14"/>
    <mergeCell ref="I14:J14"/>
    <mergeCell ref="A1:J1"/>
    <mergeCell ref="C2:D2"/>
    <mergeCell ref="C3:D3"/>
    <mergeCell ref="C4:D4"/>
    <mergeCell ref="C6:D6"/>
    <mergeCell ref="D24:E24"/>
    <mergeCell ref="D25:E25"/>
    <mergeCell ref="A26:H26"/>
    <mergeCell ref="C5:D5"/>
    <mergeCell ref="C7:D7"/>
    <mergeCell ref="C12:D12"/>
    <mergeCell ref="C13:D13"/>
    <mergeCell ref="C8:D8"/>
    <mergeCell ref="A19:B19"/>
    <mergeCell ref="C19:J19"/>
    <mergeCell ref="A20:D20"/>
    <mergeCell ref="E20:J20"/>
    <mergeCell ref="C21:E21"/>
    <mergeCell ref="B22:B24"/>
    <mergeCell ref="A15:E15"/>
    <mergeCell ref="A27:E27"/>
    <mergeCell ref="F27:J27"/>
    <mergeCell ref="A43:E43"/>
    <mergeCell ref="J22:J25"/>
    <mergeCell ref="A42:H42"/>
    <mergeCell ref="B30:H30"/>
    <mergeCell ref="B31:H31"/>
    <mergeCell ref="B32:H32"/>
    <mergeCell ref="A17:B17"/>
    <mergeCell ref="A29:G29"/>
    <mergeCell ref="D38:E38"/>
    <mergeCell ref="D39:E39"/>
    <mergeCell ref="D40:E40"/>
    <mergeCell ref="D22:E22"/>
    <mergeCell ref="D23:E23"/>
    <mergeCell ref="A45:G45"/>
    <mergeCell ref="B46:H46"/>
    <mergeCell ref="B47:H47"/>
    <mergeCell ref="B48:H48"/>
    <mergeCell ref="A49:E49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sqref="A1:XFD7"/>
    </sheetView>
  </sheetViews>
  <sheetFormatPr defaultRowHeight="13" x14ac:dyDescent="0.3"/>
  <cols>
    <col min="1" max="1" width="5.09765625" customWidth="1"/>
    <col min="2" max="2" width="30.69921875" customWidth="1"/>
    <col min="3" max="3" width="46.19921875" customWidth="1"/>
    <col min="4" max="4" width="40.69921875" customWidth="1"/>
  </cols>
  <sheetData>
    <row r="1" spans="1:4" ht="12.75" customHeight="1" x14ac:dyDescent="0.3">
      <c r="A1" s="2"/>
      <c r="B1" s="141" t="s">
        <v>0</v>
      </c>
      <c r="C1" s="142"/>
    </row>
    <row r="2" spans="1:4" ht="12.75" customHeight="1" x14ac:dyDescent="0.3">
      <c r="A2" s="143" t="s">
        <v>1</v>
      </c>
      <c r="B2" s="143"/>
      <c r="C2" s="1"/>
    </row>
    <row r="3" spans="1:4" ht="12.75" customHeight="1" x14ac:dyDescent="0.3">
      <c r="A3" s="144" t="s">
        <v>2</v>
      </c>
      <c r="B3" s="145"/>
    </row>
    <row r="4" spans="1:4" ht="8.25" customHeight="1" x14ac:dyDescent="0.3">
      <c r="A4" s="146" t="s">
        <v>3</v>
      </c>
      <c r="B4" s="146"/>
      <c r="C4" s="146"/>
      <c r="D4" s="146"/>
    </row>
    <row r="5" spans="1:4" ht="162" customHeight="1" x14ac:dyDescent="0.3"/>
    <row r="6" spans="1:4" ht="180" customHeight="1" x14ac:dyDescent="0.3"/>
    <row r="7" spans="1:4" ht="104" customHeight="1" x14ac:dyDescent="0.3"/>
    <row r="8" spans="1:4" ht="161" customHeight="1" x14ac:dyDescent="0.3"/>
    <row r="9" spans="1:4" ht="80" customHeight="1" x14ac:dyDescent="0.3"/>
  </sheetData>
  <mergeCells count="4">
    <mergeCell ref="B1:C1"/>
    <mergeCell ref="A2:B2"/>
    <mergeCell ref="A3:B3"/>
    <mergeCell ref="A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</cp:lastModifiedBy>
  <dcterms:created xsi:type="dcterms:W3CDTF">2025-06-23T06:52:31Z</dcterms:created>
  <dcterms:modified xsi:type="dcterms:W3CDTF">2025-07-11T10:23:48Z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2025-06-23T00:00:00Z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2025-06-23T00:00:00Z</vt:filetime>
  </property>
</Properties>
</file>