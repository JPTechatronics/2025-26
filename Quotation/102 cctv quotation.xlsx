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Quotation\"/>
    </mc:Choice>
  </mc:AlternateContent>
  <xr:revisionPtr revIDLastSave="0" documentId="13_ncr:1_{FF97E1D8-3AC2-467F-8505-9F3F9C1A0A78}" xr6:coauthVersionLast="47" xr6:coauthVersionMax="47" xr10:uidLastSave="{00000000-0000-0000-0000-000000000000}"/>
  <bookViews>
    <workbookView xWindow="-110" yWindow="-110" windowWidth="19420" windowHeight="10420" xr2:uid="{CF20ACE1-EFD3-4F6E-9024-C4CE330B1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<sst xmlns="http://schemas.openxmlformats.org/spreadsheetml/2006/main" count="42" uniqueCount="30">
  <si>
    <t>Purchase Invoice No. : 102</t>
  </si>
  <si>
    <t>Date: 11/4/2025</t>
  </si>
  <si>
    <t>Sr. No.</t>
  </si>
  <si>
    <t>Bill of Material for CCTV</t>
  </si>
  <si>
    <t>Quantity</t>
  </si>
  <si>
    <t>Units</t>
  </si>
  <si>
    <t>Rates</t>
  </si>
  <si>
    <t>Amount</t>
  </si>
  <si>
    <t>32-channel Network Video Recorder as per Specification</t>
  </si>
  <si>
    <t>Nos.</t>
  </si>
  <si>
    <t xml:space="preserve"> IP Based Dome vandal proof Camera as per Specification</t>
  </si>
  <si>
    <t xml:space="preserve"> IP Based indoor bullet vandal proof Camera as per Specification</t>
  </si>
  <si>
    <t xml:space="preserve">6 TB Surveillance Hard Disk (Recording @1080, 25 FPS, 2048 Kbps Bit Rate) </t>
  </si>
  <si>
    <t>Lot.</t>
  </si>
  <si>
    <t>8 Port PoE (10/100/1000) Switch</t>
  </si>
  <si>
    <t>No.</t>
  </si>
  <si>
    <t>16 Port PoE (10/100/1000) switch</t>
  </si>
  <si>
    <t>Outdoor Boxes</t>
  </si>
  <si>
    <t>Indoor Boxes</t>
  </si>
  <si>
    <t xml:space="preserve"> D-Link Cat 6 Outdoor Cables, 305 Mts (Armoured) max length to be limited to 70 meters for each camera</t>
  </si>
  <si>
    <t>4U Rack D-Link</t>
  </si>
  <si>
    <t xml:space="preserve"> Artis Ups 600 VA</t>
  </si>
  <si>
    <t>Wbox 2 mtr HDMI Cables</t>
  </si>
  <si>
    <t>PVC Pipes</t>
  </si>
  <si>
    <t>Mtrs.</t>
  </si>
  <si>
    <t xml:space="preserve"> D-Link RJ45</t>
  </si>
  <si>
    <t>Laying of Cables</t>
  </si>
  <si>
    <t>Installation</t>
  </si>
  <si>
    <t>TOTAL</t>
  </si>
  <si>
    <t>GST @18%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</si>
</sst>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/>
    <xf numFmtId="0" fontId="3" fillId="0" borderId="3" xfId="0" applyFont="1" applyBorder="1"/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4" fillId="0" borderId="15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834D-E13F-42DA-9E20-96B4F45CF055}">
  <dimension ref="A1:F20"/>
  <sheetViews>
    <sheetView tabSelected="1" workbookViewId="0">
      <selection activeCell="F20" sqref="F20"/>
    </sheetView>
  </sheetViews>
  <sheetFormatPr defaultRowHeight="14.5" x14ac:dyDescent="0.35"/>
  <cols>
    <col min="2" max="2" width="53.54296875" style="26" customWidth="1"/>
    <col min="6" max="6" width="11.90625" bestFit="1" customWidth="1"/>
  </cols>
  <sheetData>
    <row r="1" spans="1:6" ht="19" thickBot="1" x14ac:dyDescent="0.5">
      <c r="A1" s="1" t="s">
        <v>0</v>
      </c>
      <c r="B1" s="2"/>
      <c r="C1" s="3"/>
      <c r="D1" s="4" t="s">
        <v>1</v>
      </c>
      <c r="E1" s="5"/>
      <c r="F1" s="6"/>
    </row>
    <row r="2" spans="1:6" ht="16" thickBot="1" x14ac:dyDescent="0.4">
      <c r="A2" s="7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10" t="s">
        <v>7</v>
      </c>
    </row>
    <row r="3" spans="1:6" x14ac:dyDescent="0.35">
      <c r="A3" s="11">
        <v>1</v>
      </c>
      <c r="B3" s="12" t="s">
        <v>8</v>
      </c>
      <c r="C3" s="13">
        <v>2</v>
      </c>
      <c r="D3" s="13" t="s">
        <v>9</v>
      </c>
      <c r="E3" s="13">
        <v>42600</v>
      </c>
      <c r="F3" s="14">
        <f>C3*E3</f>
        <v>85200</v>
      </c>
    </row>
    <row r="4" spans="1:6" x14ac:dyDescent="0.35">
      <c r="A4" s="15">
        <v>2</v>
      </c>
      <c r="B4" s="16" t="s">
        <v>10</v>
      </c>
      <c r="C4" s="17">
        <v>16</v>
      </c>
      <c r="D4" s="17" t="s">
        <v>9</v>
      </c>
      <c r="E4" s="17">
        <v>8300</v>
      </c>
      <c r="F4" s="14">
        <f t="shared" ref="F4:F18" si="0">C4*E4</f>
        <v>132800</v>
      </c>
    </row>
    <row r="5" spans="1:6" ht="29" x14ac:dyDescent="0.35">
      <c r="A5" s="15">
        <v>3</v>
      </c>
      <c r="B5" s="16" t="s">
        <v>11</v>
      </c>
      <c r="C5" s="17">
        <v>20</v>
      </c>
      <c r="D5" s="17" t="s">
        <v>9</v>
      </c>
      <c r="E5" s="17">
        <v>8600</v>
      </c>
      <c r="F5" s="14">
        <f t="shared" si="0"/>
        <v>172000</v>
      </c>
    </row>
    <row r="6" spans="1:6" ht="29" x14ac:dyDescent="0.35">
      <c r="A6" s="15">
        <v>4</v>
      </c>
      <c r="B6" s="16" t="s">
        <v>12</v>
      </c>
      <c r="C6" s="17">
        <v>4</v>
      </c>
      <c r="D6" s="17" t="s">
        <v>13</v>
      </c>
      <c r="E6" s="17">
        <v>15500</v>
      </c>
      <c r="F6" s="14">
        <f t="shared" si="0"/>
        <v>62000</v>
      </c>
    </row>
    <row r="7" spans="1:6" x14ac:dyDescent="0.35">
      <c r="A7" s="15">
        <v>5</v>
      </c>
      <c r="B7" s="16" t="s">
        <v>14</v>
      </c>
      <c r="C7" s="17">
        <v>1</v>
      </c>
      <c r="D7" s="17" t="s">
        <v>15</v>
      </c>
      <c r="E7" s="17">
        <v>10300</v>
      </c>
      <c r="F7" s="14">
        <f t="shared" si="0"/>
        <v>10300</v>
      </c>
    </row>
    <row r="8" spans="1:6" x14ac:dyDescent="0.35">
      <c r="A8" s="15">
        <v>6</v>
      </c>
      <c r="B8" s="16" t="s">
        <v>16</v>
      </c>
      <c r="C8" s="17">
        <v>5</v>
      </c>
      <c r="D8" s="17" t="s">
        <v>9</v>
      </c>
      <c r="E8" s="17">
        <v>14400</v>
      </c>
      <c r="F8" s="14">
        <f t="shared" si="0"/>
        <v>72000</v>
      </c>
    </row>
    <row r="9" spans="1:6" x14ac:dyDescent="0.35">
      <c r="A9" s="15">
        <v>7</v>
      </c>
      <c r="B9" s="16" t="s">
        <v>17</v>
      </c>
      <c r="C9" s="17">
        <v>16</v>
      </c>
      <c r="D9" s="17" t="s">
        <v>9</v>
      </c>
      <c r="E9" s="17">
        <v>120</v>
      </c>
      <c r="F9" s="14">
        <f t="shared" si="0"/>
        <v>1920</v>
      </c>
    </row>
    <row r="10" spans="1:6" x14ac:dyDescent="0.35">
      <c r="A10" s="15">
        <v>8</v>
      </c>
      <c r="B10" s="16" t="s">
        <v>18</v>
      </c>
      <c r="C10" s="17">
        <v>16</v>
      </c>
      <c r="D10" s="17" t="s">
        <v>9</v>
      </c>
      <c r="E10" s="17">
        <v>120</v>
      </c>
      <c r="F10" s="14">
        <f t="shared" si="0"/>
        <v>1920</v>
      </c>
    </row>
    <row r="11" spans="1:6" ht="29" x14ac:dyDescent="0.35">
      <c r="A11" s="15">
        <v>9</v>
      </c>
      <c r="B11" s="16" t="s">
        <v>19</v>
      </c>
      <c r="C11" s="17">
        <v>4</v>
      </c>
      <c r="D11" s="17" t="s">
        <v>9</v>
      </c>
      <c r="E11" s="17">
        <v>33400</v>
      </c>
      <c r="F11" s="14">
        <f t="shared" si="0"/>
        <v>133600</v>
      </c>
    </row>
    <row r="12" spans="1:6" x14ac:dyDescent="0.35">
      <c r="A12" s="15">
        <v>10</v>
      </c>
      <c r="B12" s="16" t="s">
        <v>20</v>
      </c>
      <c r="C12" s="17">
        <v>3</v>
      </c>
      <c r="D12" s="17" t="s">
        <v>9</v>
      </c>
      <c r="E12" s="17">
        <v>6900</v>
      </c>
      <c r="F12" s="14">
        <f t="shared" si="0"/>
        <v>20700</v>
      </c>
    </row>
    <row r="13" spans="1:6" x14ac:dyDescent="0.35">
      <c r="A13" s="15">
        <v>11</v>
      </c>
      <c r="B13" s="16" t="s">
        <v>21</v>
      </c>
      <c r="C13" s="17">
        <v>3</v>
      </c>
      <c r="D13" s="17" t="s">
        <v>9</v>
      </c>
      <c r="E13" s="17">
        <v>2900</v>
      </c>
      <c r="F13" s="14">
        <f t="shared" si="0"/>
        <v>8700</v>
      </c>
    </row>
    <row r="14" spans="1:6" x14ac:dyDescent="0.35">
      <c r="A14" s="15">
        <v>12</v>
      </c>
      <c r="B14" s="16" t="s">
        <v>22</v>
      </c>
      <c r="C14" s="17">
        <v>1</v>
      </c>
      <c r="D14" s="17" t="s">
        <v>15</v>
      </c>
      <c r="E14" s="17">
        <v>580</v>
      </c>
      <c r="F14" s="14">
        <f t="shared" si="0"/>
        <v>580</v>
      </c>
    </row>
    <row r="15" spans="1:6" x14ac:dyDescent="0.35">
      <c r="A15" s="15">
        <v>13</v>
      </c>
      <c r="B15" s="16" t="s">
        <v>23</v>
      </c>
      <c r="C15" s="17">
        <v>60</v>
      </c>
      <c r="D15" s="17" t="s">
        <v>24</v>
      </c>
      <c r="E15" s="17">
        <v>100</v>
      </c>
      <c r="F15" s="14">
        <f t="shared" si="0"/>
        <v>6000</v>
      </c>
    </row>
    <row r="16" spans="1:6" x14ac:dyDescent="0.35">
      <c r="A16" s="15">
        <v>14</v>
      </c>
      <c r="B16" s="16" t="s">
        <v>25</v>
      </c>
      <c r="C16" s="17">
        <v>68</v>
      </c>
      <c r="D16" s="17" t="s">
        <v>9</v>
      </c>
      <c r="E16" s="17">
        <v>140</v>
      </c>
      <c r="F16" s="14">
        <f t="shared" si="0"/>
        <v>9520</v>
      </c>
    </row>
    <row r="17" spans="1:6" x14ac:dyDescent="0.35">
      <c r="A17" s="15">
        <v>15</v>
      </c>
      <c r="B17" s="16" t="s">
        <v>26</v>
      </c>
      <c r="C17" s="17">
        <v>1220</v>
      </c>
      <c r="D17" s="17" t="s">
        <v>24</v>
      </c>
      <c r="E17" s="17">
        <v>50</v>
      </c>
      <c r="F17" s="14">
        <f t="shared" si="0"/>
        <v>61000</v>
      </c>
    </row>
    <row r="18" spans="1:6" ht="15" thickBot="1" x14ac:dyDescent="0.4">
      <c r="A18" s="18">
        <v>16</v>
      </c>
      <c r="B18" s="19" t="s">
        <v>27</v>
      </c>
      <c r="C18" s="20">
        <v>1</v>
      </c>
      <c r="D18" s="20" t="s">
        <v>13</v>
      </c>
      <c r="E18" s="20">
        <v>35000</v>
      </c>
      <c r="F18" s="14">
        <f t="shared" si="0"/>
        <v>35000</v>
      </c>
    </row>
    <row r="19" spans="1:6" ht="16" thickBot="1" x14ac:dyDescent="0.4">
      <c r="A19" s="21" t="s">
        <v>28</v>
      </c>
      <c r="B19" s="22"/>
      <c r="C19" s="22"/>
      <c r="D19" s="22"/>
      <c r="E19" s="23"/>
      <c r="F19" s="24">
        <f>SUM(F3:F18)</f>
        <v>813240</v>
      </c>
    </row>
    <row r="20" spans="1:6" x14ac:dyDescent="0.35">
      <c r="A20" s="25" t="s">
        <v>29</v>
      </c>
      <c r="B20" s="25"/>
      <c r="C20" s="25"/>
      <c r="D20" s="25"/>
      <c r="E20" s="25"/>
      <c r="F20" s="6"/>
    </row>
  </sheetData>
  <mergeCells count="2">
    <mergeCell ref="A19:E19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2025-04-11T10:45:28Z</dcterms:created>
  <dcterms:modified xsi:type="dcterms:W3CDTF">2025-04-11T11:52:21Z</dcterms:modified>
</cp:coreProperties>
</file>