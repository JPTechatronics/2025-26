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P TECHATRONICS 2022-2023\2025-2026\BNF &amp; ENDO\"/>
    </mc:Choice>
  </mc:AlternateContent>
  <xr:revisionPtr revIDLastSave="0" documentId="13_ncr:1_{2BCB3642-8969-424B-B5A9-20E7C6CB7662}" xr6:coauthVersionLast="47" xr6:coauthVersionMax="47" xr10:uidLastSave="{00000000-0000-0000-0000-000000000000}"/>
  <bookViews>
    <workbookView xWindow="-110" yWindow="-110" windowWidth="19420" windowHeight="10420" activeTab="1" xr2:uid="{46D7D478-A813-4D3C-8561-EEA2CAE23C36}"/>
  </bookViews>
  <sheets>
    <sheet name="Updated Sizes" sheetId="1" r:id="rId1"/>
    <sheet name="Qty Compariti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8" i="2" l="1"/>
  <c r="H27" i="2"/>
  <c r="G32" i="2"/>
  <c r="G27" i="2"/>
  <c r="G28" i="2" s="1"/>
  <c r="C27" i="2"/>
  <c r="C28" i="2" s="1"/>
  <c r="C32" i="2" s="1"/>
  <c r="F20" i="2"/>
  <c r="F19" i="2"/>
  <c r="F17" i="2"/>
  <c r="F16" i="2"/>
  <c r="F14" i="2"/>
  <c r="F13" i="2"/>
  <c r="F12" i="2"/>
  <c r="F8" i="2"/>
  <c r="F6" i="2"/>
  <c r="F4" i="2"/>
  <c r="E5" i="2"/>
  <c r="E3" i="2"/>
  <c r="E2" i="2"/>
  <c r="D22" i="2"/>
  <c r="D24" i="2"/>
  <c r="D23" i="2"/>
  <c r="D18" i="2"/>
  <c r="D17" i="2"/>
  <c r="D16" i="2"/>
  <c r="D15" i="2"/>
  <c r="D14" i="2"/>
  <c r="D11" i="2"/>
  <c r="D10" i="2"/>
  <c r="D9" i="2"/>
  <c r="D7" i="2"/>
  <c r="D6" i="2"/>
  <c r="D4" i="2"/>
  <c r="D3" i="2"/>
  <c r="B8" i="2"/>
  <c r="B2" i="2"/>
  <c r="B4" i="2"/>
  <c r="B5" i="2"/>
  <c r="B9" i="2"/>
  <c r="F27" i="2" l="1"/>
  <c r="F28" i="2" s="1"/>
  <c r="F32" i="2" s="1"/>
  <c r="E27" i="2"/>
  <c r="E28" i="2" s="1"/>
  <c r="E32" i="2" s="1"/>
  <c r="D27" i="2"/>
  <c r="D28" i="2" s="1"/>
  <c r="D32" i="2" s="1"/>
  <c r="B27" i="2"/>
  <c r="B28" i="2" s="1"/>
  <c r="B32" i="2" s="1"/>
</calcChain>
</file>

<file path=xl/sharedStrings.xml><?xml version="1.0" encoding="utf-8"?>
<sst xmlns="http://schemas.openxmlformats.org/spreadsheetml/2006/main" count="322" uniqueCount="153">
  <si>
    <t>Old sizes</t>
  </si>
  <si>
    <t>Remark</t>
  </si>
  <si>
    <t>New Sizes</t>
  </si>
  <si>
    <t>Bedroom: 1</t>
  </si>
  <si>
    <t>Cov1</t>
  </si>
  <si>
    <t>Sec1: 2040 + 3520 + 2040 + 3520</t>
  </si>
  <si>
    <t>Cov2</t>
  </si>
  <si>
    <t>Sec1: 1430</t>
  </si>
  <si>
    <t>Sec2: 1520 + 1520</t>
  </si>
  <si>
    <t>Sec3: 1423</t>
  </si>
  <si>
    <t>1 sec missing</t>
  </si>
  <si>
    <t xml:space="preserve">Furniture </t>
  </si>
  <si>
    <t>Wardrop area</t>
  </si>
  <si>
    <t>Sec1: 540</t>
  </si>
  <si>
    <t>Concealed LED light</t>
  </si>
  <si>
    <t>Sec2: 1120</t>
  </si>
  <si>
    <t>Sec3: 540</t>
  </si>
  <si>
    <t>Bathroom</t>
  </si>
  <si>
    <t>Cov4</t>
  </si>
  <si>
    <t>Sec1: 900</t>
  </si>
  <si>
    <t xml:space="preserve">cancelled </t>
  </si>
  <si>
    <t>Sec2: 900</t>
  </si>
  <si>
    <t>Sec3: 270mm</t>
  </si>
  <si>
    <t>Bed room: 2</t>
  </si>
  <si>
    <t>Cov: 1</t>
  </si>
  <si>
    <t>Cov: 1C</t>
  </si>
  <si>
    <t>Sec 1: 8550</t>
  </si>
  <si>
    <t xml:space="preserve">Cov: 2 </t>
  </si>
  <si>
    <t>Sec 1: 240+4060+420+4650</t>
  </si>
  <si>
    <t xml:space="preserve"> Cov 2:</t>
  </si>
  <si>
    <t>Sec1: 444</t>
  </si>
  <si>
    <t>Concealed LED</t>
  </si>
  <si>
    <t>Sec2: 920</t>
  </si>
  <si>
    <t>Sec3: 444</t>
  </si>
  <si>
    <t>Cov 2/ Fixtures</t>
  </si>
  <si>
    <t>T.V unit</t>
  </si>
  <si>
    <t>T.V unit: 1750</t>
  </si>
  <si>
    <t>Added</t>
  </si>
  <si>
    <t>Pending</t>
  </si>
  <si>
    <t>Not mentioned</t>
  </si>
  <si>
    <t>Toilet</t>
  </si>
  <si>
    <t>Mirror</t>
  </si>
  <si>
    <t>Cov 1</t>
  </si>
  <si>
    <t>Sec1: 290mm</t>
  </si>
  <si>
    <t>?</t>
  </si>
  <si>
    <t>920 mm</t>
  </si>
  <si>
    <t>Staircase ground floor</t>
  </si>
  <si>
    <t>Steps</t>
  </si>
  <si>
    <t>Sec 1: 4470+2900</t>
  </si>
  <si>
    <t xml:space="preserve">4445+2850 </t>
  </si>
  <si>
    <t xml:space="preserve">Sec 1: 4445+2850 </t>
  </si>
  <si>
    <t>Cov 4</t>
  </si>
  <si>
    <t>Sec 1 : 1175*5</t>
  </si>
  <si>
    <t>with 18mm width</t>
  </si>
  <si>
    <t>Sec 2: 1580</t>
  </si>
  <si>
    <t>Sec 3: 1190*12</t>
  </si>
  <si>
    <t>Sec 4: 1580</t>
  </si>
  <si>
    <t>Sec 5: 1170*6</t>
  </si>
  <si>
    <t>Dining Area</t>
  </si>
  <si>
    <t>sec 1: 3490+3490+3490+3490</t>
  </si>
  <si>
    <t>Cov 2</t>
  </si>
  <si>
    <t>Sec1 : 330+2460+4920</t>
  </si>
  <si>
    <t>Furniture</t>
  </si>
  <si>
    <t>Sec1: 1740mm</t>
  </si>
  <si>
    <t>Living Area</t>
  </si>
  <si>
    <t>Sec1: 4880</t>
  </si>
  <si>
    <t>2700+4880</t>
  </si>
  <si>
    <t>Sec 1: 2880+3480+2880+3480</t>
  </si>
  <si>
    <t>sec2: 3880+4140</t>
  </si>
  <si>
    <t>not mentioned</t>
  </si>
  <si>
    <t>sec1: 2790+3390+2790+3390</t>
  </si>
  <si>
    <t>Cov 3</t>
  </si>
  <si>
    <t>Sec 1: 4880</t>
  </si>
  <si>
    <t>sec2: 3660+3950+3660</t>
  </si>
  <si>
    <t>TV  PENDING</t>
  </si>
  <si>
    <t>TV: 3240mm</t>
  </si>
  <si>
    <t>TV side Drowers: 275mm</t>
  </si>
  <si>
    <t>Staircase 1st floor</t>
  </si>
  <si>
    <t>Sec1: 1180*6</t>
  </si>
  <si>
    <t>1190*6</t>
  </si>
  <si>
    <t>Sec1: 1190*6</t>
  </si>
  <si>
    <t>Sec2: 1580</t>
  </si>
  <si>
    <t>Sec 2: 1585</t>
  </si>
  <si>
    <t>Sec3: 1200*12</t>
  </si>
  <si>
    <t>1200*12</t>
  </si>
  <si>
    <t>Sec4: 1580</t>
  </si>
  <si>
    <t>Sec5: 1170*7</t>
  </si>
  <si>
    <t>1160*7</t>
  </si>
  <si>
    <t>Sec5: 1160*7</t>
  </si>
  <si>
    <t>Bed room 3</t>
  </si>
  <si>
    <t>Sec1: 5070</t>
  </si>
  <si>
    <t xml:space="preserve">Sec2: </t>
  </si>
  <si>
    <t xml:space="preserve">Cov2 </t>
  </si>
  <si>
    <t>Sec1: 5300</t>
  </si>
  <si>
    <t>sec2: 3120mm</t>
  </si>
  <si>
    <t>sec3: 1290</t>
  </si>
  <si>
    <t>1240mm</t>
  </si>
  <si>
    <t>Gap</t>
  </si>
  <si>
    <t>sec3: 1240</t>
  </si>
  <si>
    <t>TV Unit:</t>
  </si>
  <si>
    <t>TV Unit: 1438+1810+1438</t>
  </si>
  <si>
    <t>cov 3</t>
  </si>
  <si>
    <t>sec1: 890</t>
  </si>
  <si>
    <t>895mm</t>
  </si>
  <si>
    <t xml:space="preserve">2900mm </t>
  </si>
  <si>
    <t>Wardrop Area</t>
  </si>
  <si>
    <t>1035mm</t>
  </si>
  <si>
    <t>500 mm</t>
  </si>
  <si>
    <t>500mm</t>
  </si>
  <si>
    <t>Study Table</t>
  </si>
  <si>
    <t>495mm</t>
  </si>
  <si>
    <t>970mm</t>
  </si>
  <si>
    <t>Bedroom 4</t>
  </si>
  <si>
    <t xml:space="preserve">cov1 </t>
  </si>
  <si>
    <t>sec1: 7500+7500</t>
  </si>
  <si>
    <t>7500+7540</t>
  </si>
  <si>
    <t>sec1: 7500+7540</t>
  </si>
  <si>
    <t>COV 2</t>
  </si>
  <si>
    <t>Sec1: 3090+4540+3090</t>
  </si>
  <si>
    <t>3100+4530+3070</t>
  </si>
  <si>
    <t>Sec1: 3100+4530+3070</t>
  </si>
  <si>
    <t>Cov3</t>
  </si>
  <si>
    <t>Sec 1: 1450</t>
  </si>
  <si>
    <t>Sec1: ?</t>
  </si>
  <si>
    <t>Sec2: 500+500+500</t>
  </si>
  <si>
    <t>Sec 3: 500+500+500</t>
  </si>
  <si>
    <t>cov4</t>
  </si>
  <si>
    <t>sec1: 230</t>
  </si>
  <si>
    <t>230mm</t>
  </si>
  <si>
    <t xml:space="preserve">1600mm </t>
  </si>
  <si>
    <t>Mirror Pending</t>
  </si>
  <si>
    <t>Top floor bathroom</t>
  </si>
  <si>
    <t xml:space="preserve">Top floor Bar </t>
  </si>
  <si>
    <t>sec2: 280</t>
  </si>
  <si>
    <t>Bedroom 5</t>
  </si>
  <si>
    <t>Sec1: 2810+4530+2910</t>
  </si>
  <si>
    <t>2810+4645+2910</t>
  </si>
  <si>
    <t>Cov3:</t>
  </si>
  <si>
    <t>Sec1: 3960+4760</t>
  </si>
  <si>
    <t>4655+2200+4655+2880+2205+2880</t>
  </si>
  <si>
    <t>Pending messurement TV Area</t>
  </si>
  <si>
    <t xml:space="preserve">1890mm </t>
  </si>
  <si>
    <t>290mm</t>
  </si>
  <si>
    <t>out side bathroom</t>
  </si>
  <si>
    <t>Total Qty in (mm)</t>
  </si>
  <si>
    <t>Total Qty in (Mtrs)</t>
  </si>
  <si>
    <t>Ordered Qty in (Mtrs)</t>
  </si>
  <si>
    <t>Difference in (Mtrs)</t>
  </si>
  <si>
    <t>Cov 2/ Flx</t>
  </si>
  <si>
    <t>tv side drowers</t>
  </si>
  <si>
    <t>study table</t>
  </si>
  <si>
    <t>Marked as Concealed LED &amp; COV not mentioned</t>
  </si>
  <si>
    <t>Updated Sizes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</si>
</sst>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39997558519241921"/>
        <bgColor indexed="64"/>
      </patternFill>
    </fill>
  </fills>
  <borders count="22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left"/>
    </xf>
    <xf numFmtId="0" fontId="1" fillId="0" borderId="5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wrapText="1"/>
    </xf>
    <xf numFmtId="0" fontId="1" fillId="4" borderId="7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6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3" fillId="5" borderId="4" xfId="0" applyFont="1" applyFill="1" applyBorder="1" applyAlignment="1"/>
    <xf numFmtId="0" fontId="2" fillId="0" borderId="5" xfId="0" applyFont="1" applyBorder="1" applyAlignment="1"/>
    <xf numFmtId="0" fontId="0" fillId="0" borderId="5" xfId="0" applyBorder="1" applyAlignment="1"/>
    <xf numFmtId="0" fontId="4" fillId="0" borderId="5" xfId="0" applyFont="1" applyBorder="1" applyAlignment="1"/>
    <xf numFmtId="0" fontId="0" fillId="3" borderId="5" xfId="0" applyFill="1" applyBorder="1" applyAlignment="1"/>
    <xf numFmtId="0" fontId="6" fillId="5" borderId="5" xfId="0" applyFont="1" applyFill="1" applyBorder="1" applyAlignment="1"/>
    <xf numFmtId="0" fontId="1" fillId="0" borderId="5" xfId="0" applyFont="1" applyBorder="1" applyAlignment="1"/>
    <xf numFmtId="0" fontId="0" fillId="4" borderId="5" xfId="0" applyFill="1" applyBorder="1" applyAlignment="1"/>
    <xf numFmtId="0" fontId="4" fillId="4" borderId="5" xfId="0" applyFont="1" applyFill="1" applyBorder="1" applyAlignment="1"/>
    <xf numFmtId="0" fontId="6" fillId="6" borderId="5" xfId="0" applyFont="1" applyFill="1" applyBorder="1" applyAlignment="1"/>
    <xf numFmtId="0" fontId="0" fillId="0" borderId="5" xfId="0" applyFill="1" applyBorder="1" applyAlignment="1"/>
    <xf numFmtId="0" fontId="6" fillId="0" borderId="5" xfId="0" applyFont="1" applyBorder="1" applyAlignment="1"/>
    <xf numFmtId="0" fontId="2" fillId="3" borderId="5" xfId="0" applyFont="1" applyFill="1" applyBorder="1" applyAlignment="1"/>
    <xf numFmtId="0" fontId="0" fillId="0" borderId="0" xfId="0" applyAlignment="1"/>
    <xf numFmtId="0" fontId="0" fillId="5" borderId="4" xfId="0" applyFill="1" applyBorder="1" applyAlignment="1"/>
    <xf numFmtId="0" fontId="0" fillId="5" borderId="5" xfId="0" applyFill="1" applyBorder="1" applyAlignment="1"/>
    <xf numFmtId="0" fontId="5" fillId="0" borderId="5" xfId="0" applyFont="1" applyBorder="1" applyAlignment="1"/>
    <xf numFmtId="0" fontId="1" fillId="0" borderId="5" xfId="0" applyFont="1" applyFill="1" applyBorder="1" applyAlignment="1"/>
    <xf numFmtId="0" fontId="1" fillId="3" borderId="5" xfId="0" applyFont="1" applyFill="1" applyBorder="1" applyAlignment="1"/>
    <xf numFmtId="0" fontId="0" fillId="4" borderId="6" xfId="0" applyFont="1" applyFill="1" applyBorder="1" applyAlignment="1">
      <alignment horizontal="center" vertical="center"/>
    </xf>
    <xf numFmtId="0" fontId="0" fillId="0" borderId="5" xfId="0" applyFont="1" applyFill="1" applyBorder="1" applyAlignment="1"/>
    <xf numFmtId="0" fontId="0" fillId="0" borderId="5" xfId="0" applyBorder="1" applyAlignment="1">
      <alignment horizontal="right"/>
    </xf>
    <xf numFmtId="0" fontId="2" fillId="0" borderId="0" xfId="0" applyFont="1" applyAlignment="1"/>
    <xf numFmtId="0" fontId="6" fillId="0" borderId="0" xfId="0" applyFont="1" applyAlignment="1"/>
    <xf numFmtId="0" fontId="1" fillId="0" borderId="5" xfId="0" applyFont="1" applyBorder="1" applyAlignment="1">
      <alignment horizontal="right"/>
    </xf>
    <xf numFmtId="0" fontId="0" fillId="0" borderId="0" xfId="0" applyBorder="1" applyAlignment="1"/>
    <xf numFmtId="0" fontId="0" fillId="0" borderId="4" xfId="0" applyBorder="1" applyAlignment="1"/>
    <xf numFmtId="0" fontId="6" fillId="7" borderId="1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2" fillId="0" borderId="5" xfId="0" applyFont="1" applyFill="1" applyBorder="1" applyAlignment="1"/>
    <xf numFmtId="0" fontId="4" fillId="0" borderId="0" xfId="0" applyFont="1" applyAlignment="1"/>
    <xf numFmtId="0" fontId="0" fillId="0" borderId="6" xfId="0" applyBorder="1" applyAlignment="1"/>
    <xf numFmtId="0" fontId="6" fillId="0" borderId="6" xfId="0" applyFont="1" applyBorder="1" applyAlignment="1"/>
    <xf numFmtId="0" fontId="4" fillId="0" borderId="10" xfId="0" applyFont="1" applyBorder="1" applyAlignment="1"/>
    <xf numFmtId="0" fontId="4" fillId="0" borderId="11" xfId="0" applyFont="1" applyBorder="1" applyAlignment="1"/>
    <xf numFmtId="0" fontId="4" fillId="0" borderId="12" xfId="0" applyFont="1" applyBorder="1" applyAlignment="1"/>
    <xf numFmtId="0" fontId="4" fillId="0" borderId="12" xfId="0" applyFont="1" applyFill="1" applyBorder="1" applyAlignment="1"/>
    <xf numFmtId="0" fontId="4" fillId="0" borderId="13" xfId="0" applyFont="1" applyBorder="1" applyAlignment="1"/>
    <xf numFmtId="0" fontId="4" fillId="4" borderId="8" xfId="0" applyFont="1" applyFill="1" applyBorder="1" applyAlignment="1"/>
    <xf numFmtId="0" fontId="4" fillId="4" borderId="1" xfId="0" applyFont="1" applyFill="1" applyBorder="1" applyAlignment="1"/>
    <xf numFmtId="0" fontId="4" fillId="4" borderId="2" xfId="0" applyFont="1" applyFill="1" applyBorder="1" applyAlignment="1"/>
    <xf numFmtId="0" fontId="4" fillId="4" borderId="3" xfId="0" applyFont="1" applyFill="1" applyBorder="1" applyAlignment="1"/>
    <xf numFmtId="0" fontId="4" fillId="0" borderId="14" xfId="0" applyFont="1" applyBorder="1" applyAlignment="1"/>
    <xf numFmtId="0" fontId="4" fillId="0" borderId="1" xfId="0" applyFont="1" applyBorder="1" applyAlignment="1"/>
    <xf numFmtId="0" fontId="4" fillId="0" borderId="2" xfId="0" applyFont="1" applyBorder="1" applyAlignment="1"/>
    <xf numFmtId="0" fontId="4" fillId="0" borderId="3" xfId="0" applyFont="1" applyBorder="1" applyAlignment="1"/>
    <xf numFmtId="0" fontId="4" fillId="3" borderId="9" xfId="0" applyFont="1" applyFill="1" applyBorder="1" applyAlignment="1"/>
    <xf numFmtId="0" fontId="2" fillId="3" borderId="15" xfId="0" applyFont="1" applyFill="1" applyBorder="1" applyAlignment="1"/>
    <xf numFmtId="0" fontId="2" fillId="3" borderId="16" xfId="0" applyFont="1" applyFill="1" applyBorder="1" applyAlignment="1"/>
    <xf numFmtId="0" fontId="2" fillId="3" borderId="17" xfId="0" applyFont="1" applyFill="1" applyBorder="1" applyAlignment="1"/>
    <xf numFmtId="0" fontId="1" fillId="4" borderId="5" xfId="0" applyFont="1" applyFill="1" applyBorder="1" applyAlignment="1"/>
    <xf numFmtId="0" fontId="0" fillId="0" borderId="18" xfId="0" applyBorder="1" applyAlignment="1"/>
    <xf numFmtId="0" fontId="0" fillId="0" borderId="20" xfId="0" applyBorder="1" applyAlignment="1"/>
    <xf numFmtId="0" fontId="0" fillId="0" borderId="0" xfId="0" applyFill="1" applyAlignment="1"/>
    <xf numFmtId="0" fontId="0" fillId="0" borderId="5" xfId="0" applyBorder="1" applyAlignment="1">
      <alignment horizontal="right" wrapText="1"/>
    </xf>
    <xf numFmtId="0" fontId="0" fillId="0" borderId="5" xfId="0" applyFill="1" applyBorder="1" applyAlignment="1">
      <alignment horizontal="right" wrapText="1"/>
    </xf>
    <xf numFmtId="0" fontId="0" fillId="0" borderId="5" xfId="0" applyFill="1" applyBorder="1" applyAlignment="1">
      <alignment horizontal="right"/>
    </xf>
    <xf numFmtId="0" fontId="0" fillId="0" borderId="6" xfId="0" applyBorder="1" applyAlignment="1">
      <alignment horizontal="right"/>
    </xf>
    <xf numFmtId="0" fontId="4" fillId="0" borderId="10" xfId="0" applyFont="1" applyBorder="1" applyAlignment="1">
      <alignment horizontal="right"/>
    </xf>
    <xf numFmtId="0" fontId="0" fillId="0" borderId="19" xfId="0" applyBorder="1" applyAlignment="1">
      <alignment horizontal="right"/>
    </xf>
    <xf numFmtId="0" fontId="0" fillId="0" borderId="21" xfId="0" applyBorder="1" applyAlignment="1">
      <alignment horizontal="right"/>
    </xf>
    <xf numFmtId="0" fontId="4" fillId="3" borderId="8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0" fillId="0" borderId="5" xfId="0" applyFont="1" applyBorder="1" applyAlignment="1"/>
    <xf numFmtId="0" fontId="0" fillId="0" borderId="5" xfId="0" applyFont="1" applyBorder="1" applyAlignment="1">
      <alignment horizontal="center"/>
    </xf>
    <xf numFmtId="0" fontId="0" fillId="0" borderId="5" xfId="0" applyFont="1" applyFill="1" applyBorder="1" applyAlignment="1">
      <alignment horizontal="center" vertical="center" wrapText="1"/>
    </xf>
    <xf numFmtId="0" fontId="0" fillId="5" borderId="0" xfId="0" applyFill="1" applyAlignment="1"/>
    <xf numFmtId="0" fontId="0" fillId="3" borderId="0" xfId="0" applyFill="1" applyAlignment="1"/>
    <xf numFmtId="0" fontId="5" fillId="0" borderId="0" xfId="0" applyFont="1" applyAlignment="1"/>
    <xf numFmtId="0" fontId="0" fillId="4" borderId="0" xfId="0" applyFill="1" applyAlignment="1"/>
    <xf numFmtId="0" fontId="4" fillId="4" borderId="0" xfId="0" applyFont="1" applyFill="1" applyAlignment="1"/>
    <xf numFmtId="0" fontId="6" fillId="6" borderId="0" xfId="0" applyFont="1" applyFill="1" applyAlignment="1"/>
    <xf numFmtId="0" fontId="6" fillId="5" borderId="0" xfId="0" applyFont="1" applyFill="1" applyAlignment="1"/>
    <xf numFmtId="0" fontId="1" fillId="4" borderId="4" xfId="0" applyFont="1" applyFill="1" applyBorder="1" applyAlignment="1"/>
    <xf numFmtId="0" fontId="0" fillId="0" borderId="4" xfId="0" applyBorder="1" applyAlignment="1">
      <alignment horizontal="right"/>
    </xf>
    <xf numFmtId="0" fontId="6" fillId="7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D2945-F678-4149-8EE4-8628EF29A1FF}">
  <dimension ref="A1:D180"/>
  <sheetViews>
    <sheetView topLeftCell="A158" zoomScaleNormal="100" workbookViewId="0">
      <selection activeCell="C176" sqref="C176"/>
    </sheetView>
  </sheetViews>
  <sheetFormatPr defaultColWidth="9" defaultRowHeight="14.5" x14ac:dyDescent="0.35"/>
  <cols>
    <col min="1" max="1" width="28.7265625" style="37" customWidth="1"/>
    <col min="2" max="2" width="21.1796875" style="37" customWidth="1"/>
    <col min="3" max="3" width="26.08984375" style="37" customWidth="1"/>
    <col min="4" max="4" width="26.6328125" style="37" bestFit="1" customWidth="1"/>
    <col min="5" max="5" width="11" style="37" customWidth="1"/>
    <col min="6" max="16384" width="9" style="37"/>
  </cols>
  <sheetData>
    <row r="1" spans="1:4" ht="27" customHeight="1" thickBot="1" x14ac:dyDescent="0.4">
      <c r="A1" s="1" t="s">
        <v>0</v>
      </c>
      <c r="B1" s="2" t="s">
        <v>2</v>
      </c>
      <c r="C1" s="2" t="s">
        <v>152</v>
      </c>
      <c r="D1" s="3" t="s">
        <v>1</v>
      </c>
    </row>
    <row r="2" spans="1:4" s="91" customFormat="1" ht="21" x14ac:dyDescent="0.5">
      <c r="A2" s="24" t="s">
        <v>3</v>
      </c>
      <c r="B2" s="38"/>
      <c r="C2" s="24" t="s">
        <v>3</v>
      </c>
      <c r="D2" s="38"/>
    </row>
    <row r="3" spans="1:4" x14ac:dyDescent="0.35">
      <c r="A3" s="25" t="s">
        <v>4</v>
      </c>
      <c r="B3" s="26"/>
      <c r="C3" s="25" t="s">
        <v>4</v>
      </c>
      <c r="D3" s="26"/>
    </row>
    <row r="4" spans="1:4" x14ac:dyDescent="0.35">
      <c r="A4" s="26" t="s">
        <v>5</v>
      </c>
      <c r="B4" s="26"/>
      <c r="C4" s="26" t="s">
        <v>5</v>
      </c>
      <c r="D4" s="26"/>
    </row>
    <row r="5" spans="1:4" x14ac:dyDescent="0.35">
      <c r="A5" s="26"/>
      <c r="B5" s="26"/>
      <c r="C5" s="26"/>
      <c r="D5" s="26"/>
    </row>
    <row r="6" spans="1:4" x14ac:dyDescent="0.35">
      <c r="A6" s="25" t="s">
        <v>6</v>
      </c>
      <c r="B6" s="26"/>
      <c r="C6" s="25" t="s">
        <v>6</v>
      </c>
      <c r="D6" s="26"/>
    </row>
    <row r="7" spans="1:4" x14ac:dyDescent="0.35">
      <c r="A7" s="26" t="s">
        <v>7</v>
      </c>
      <c r="B7" s="26"/>
      <c r="C7" s="26" t="s">
        <v>7</v>
      </c>
      <c r="D7" s="26"/>
    </row>
    <row r="8" spans="1:4" x14ac:dyDescent="0.35">
      <c r="A8" s="26" t="s">
        <v>8</v>
      </c>
      <c r="B8" s="26"/>
      <c r="C8" s="26" t="s">
        <v>8</v>
      </c>
      <c r="D8" s="26"/>
    </row>
    <row r="9" spans="1:4" x14ac:dyDescent="0.35">
      <c r="A9" s="26" t="s">
        <v>9</v>
      </c>
      <c r="B9" s="26"/>
      <c r="C9" s="26" t="s">
        <v>9</v>
      </c>
      <c r="D9" s="26"/>
    </row>
    <row r="10" spans="1:4" x14ac:dyDescent="0.35">
      <c r="A10" s="26" t="s">
        <v>10</v>
      </c>
      <c r="B10" s="26"/>
      <c r="C10" s="26" t="s">
        <v>10</v>
      </c>
      <c r="D10" s="26"/>
    </row>
    <row r="11" spans="1:4" x14ac:dyDescent="0.35">
      <c r="A11" s="26"/>
      <c r="B11" s="26"/>
      <c r="C11" s="26"/>
      <c r="D11" s="26"/>
    </row>
    <row r="12" spans="1:4" x14ac:dyDescent="0.35">
      <c r="A12" s="25" t="s">
        <v>11</v>
      </c>
      <c r="B12" s="26"/>
      <c r="C12" s="25" t="s">
        <v>11</v>
      </c>
      <c r="D12" s="26"/>
    </row>
    <row r="13" spans="1:4" x14ac:dyDescent="0.35">
      <c r="A13" s="25" t="s">
        <v>12</v>
      </c>
      <c r="B13" s="26"/>
      <c r="C13" s="26" t="s">
        <v>12</v>
      </c>
      <c r="D13" s="26"/>
    </row>
    <row r="14" spans="1:4" x14ac:dyDescent="0.35">
      <c r="A14" s="25" t="s">
        <v>6</v>
      </c>
      <c r="B14" s="26"/>
      <c r="C14" s="25" t="s">
        <v>6</v>
      </c>
      <c r="D14" s="26"/>
    </row>
    <row r="15" spans="1:4" ht="14.5" customHeight="1" x14ac:dyDescent="0.35">
      <c r="A15" s="26" t="s">
        <v>13</v>
      </c>
      <c r="B15" s="26"/>
      <c r="C15" s="26" t="s">
        <v>13</v>
      </c>
      <c r="D15" s="30" t="s">
        <v>14</v>
      </c>
    </row>
    <row r="16" spans="1:4" x14ac:dyDescent="0.35">
      <c r="A16" s="26" t="s">
        <v>15</v>
      </c>
      <c r="B16" s="26"/>
      <c r="C16" s="26" t="s">
        <v>15</v>
      </c>
      <c r="D16" s="26"/>
    </row>
    <row r="17" spans="1:4" x14ac:dyDescent="0.35">
      <c r="A17" s="26" t="s">
        <v>16</v>
      </c>
      <c r="B17" s="26"/>
      <c r="C17" s="26" t="s">
        <v>16</v>
      </c>
      <c r="D17" s="26"/>
    </row>
    <row r="18" spans="1:4" ht="14.5" customHeight="1" x14ac:dyDescent="0.35">
      <c r="A18" s="26"/>
      <c r="B18" s="26"/>
      <c r="C18" s="26"/>
      <c r="D18" s="26"/>
    </row>
    <row r="19" spans="1:4" s="55" customFormat="1" ht="15.5" x14ac:dyDescent="0.35">
      <c r="A19" s="27" t="s">
        <v>17</v>
      </c>
      <c r="B19" s="27"/>
      <c r="C19" s="27" t="s">
        <v>17</v>
      </c>
      <c r="D19" s="27"/>
    </row>
    <row r="20" spans="1:4" s="46" customFormat="1" x14ac:dyDescent="0.35">
      <c r="A20" s="25" t="s">
        <v>18</v>
      </c>
      <c r="B20" s="25"/>
      <c r="C20" s="25" t="s">
        <v>18</v>
      </c>
      <c r="D20" s="25"/>
    </row>
    <row r="21" spans="1:4" s="92" customFormat="1" x14ac:dyDescent="0.35">
      <c r="A21" s="28" t="s">
        <v>19</v>
      </c>
      <c r="B21" s="28"/>
      <c r="C21" s="28"/>
      <c r="D21" s="28" t="s">
        <v>20</v>
      </c>
    </row>
    <row r="22" spans="1:4" x14ac:dyDescent="0.35">
      <c r="A22" s="26" t="s">
        <v>21</v>
      </c>
      <c r="B22" s="26"/>
      <c r="C22" s="26" t="s">
        <v>21</v>
      </c>
      <c r="D22" s="26"/>
    </row>
    <row r="23" spans="1:4" x14ac:dyDescent="0.35">
      <c r="A23" s="26" t="s">
        <v>22</v>
      </c>
      <c r="B23" s="26"/>
      <c r="C23" s="26" t="s">
        <v>22</v>
      </c>
      <c r="D23" s="26"/>
    </row>
    <row r="24" spans="1:4" x14ac:dyDescent="0.35">
      <c r="A24" s="26"/>
      <c r="B24" s="26"/>
      <c r="C24" s="26"/>
      <c r="D24" s="26"/>
    </row>
    <row r="25" spans="1:4" s="91" customFormat="1" ht="18.5" x14ac:dyDescent="0.45">
      <c r="A25" s="29" t="s">
        <v>23</v>
      </c>
      <c r="B25" s="39"/>
      <c r="C25" s="29" t="s">
        <v>23</v>
      </c>
      <c r="D25" s="39"/>
    </row>
    <row r="26" spans="1:4" x14ac:dyDescent="0.35">
      <c r="A26" s="30" t="s">
        <v>24</v>
      </c>
      <c r="B26" s="26"/>
      <c r="C26" s="30" t="s">
        <v>25</v>
      </c>
      <c r="D26" s="26"/>
    </row>
    <row r="27" spans="1:4" x14ac:dyDescent="0.35">
      <c r="A27" s="26" t="s">
        <v>26</v>
      </c>
      <c r="B27" s="26"/>
      <c r="C27" s="26" t="s">
        <v>26</v>
      </c>
      <c r="D27" s="26"/>
    </row>
    <row r="28" spans="1:4" x14ac:dyDescent="0.35">
      <c r="A28" s="26"/>
      <c r="B28" s="26"/>
      <c r="C28" s="26"/>
      <c r="D28" s="26"/>
    </row>
    <row r="29" spans="1:4" s="46" customFormat="1" x14ac:dyDescent="0.35">
      <c r="A29" s="25" t="s">
        <v>27</v>
      </c>
      <c r="B29" s="25"/>
      <c r="C29" s="25" t="s">
        <v>27</v>
      </c>
      <c r="D29" s="25"/>
    </row>
    <row r="30" spans="1:4" x14ac:dyDescent="0.35">
      <c r="A30" s="26" t="s">
        <v>28</v>
      </c>
      <c r="B30" s="26"/>
      <c r="C30" s="26" t="s">
        <v>28</v>
      </c>
      <c r="D30" s="26"/>
    </row>
    <row r="31" spans="1:4" x14ac:dyDescent="0.35">
      <c r="A31" s="26"/>
      <c r="B31" s="26"/>
      <c r="C31" s="26"/>
      <c r="D31" s="26"/>
    </row>
    <row r="32" spans="1:4" s="93" customFormat="1" ht="15.5" x14ac:dyDescent="0.35">
      <c r="A32" s="27" t="s">
        <v>11</v>
      </c>
      <c r="B32" s="40"/>
      <c r="C32" s="27" t="s">
        <v>11</v>
      </c>
      <c r="D32" s="40"/>
    </row>
    <row r="33" spans="1:4" s="46" customFormat="1" x14ac:dyDescent="0.35">
      <c r="A33" s="25" t="s">
        <v>12</v>
      </c>
      <c r="B33" s="25"/>
      <c r="C33" s="25" t="s">
        <v>12</v>
      </c>
      <c r="D33" s="25"/>
    </row>
    <row r="34" spans="1:4" x14ac:dyDescent="0.35">
      <c r="A34" s="26" t="s">
        <v>29</v>
      </c>
      <c r="B34" s="26"/>
      <c r="C34" s="25" t="s">
        <v>29</v>
      </c>
      <c r="D34" s="26"/>
    </row>
    <row r="35" spans="1:4" x14ac:dyDescent="0.35">
      <c r="A35" s="26" t="s">
        <v>30</v>
      </c>
      <c r="B35" s="26"/>
      <c r="C35" s="26" t="s">
        <v>30</v>
      </c>
      <c r="D35" s="30" t="s">
        <v>31</v>
      </c>
    </row>
    <row r="36" spans="1:4" x14ac:dyDescent="0.35">
      <c r="A36" s="26" t="s">
        <v>32</v>
      </c>
      <c r="B36" s="26"/>
      <c r="C36" s="26" t="s">
        <v>32</v>
      </c>
      <c r="D36" s="26"/>
    </row>
    <row r="37" spans="1:4" x14ac:dyDescent="0.35">
      <c r="A37" s="26" t="s">
        <v>33</v>
      </c>
      <c r="B37" s="26"/>
      <c r="C37" s="26" t="s">
        <v>33</v>
      </c>
      <c r="D37" s="26"/>
    </row>
    <row r="38" spans="1:4" x14ac:dyDescent="0.35">
      <c r="A38" s="26"/>
      <c r="B38" s="26"/>
      <c r="C38" s="26"/>
      <c r="D38" s="26"/>
    </row>
    <row r="39" spans="1:4" s="46" customFormat="1" x14ac:dyDescent="0.35">
      <c r="A39" s="25"/>
      <c r="B39" s="25"/>
      <c r="C39" s="25" t="s">
        <v>34</v>
      </c>
      <c r="D39" s="25"/>
    </row>
    <row r="40" spans="1:4" x14ac:dyDescent="0.35">
      <c r="A40" s="26" t="s">
        <v>35</v>
      </c>
      <c r="B40" s="30" t="s">
        <v>36</v>
      </c>
      <c r="C40" s="30" t="s">
        <v>36</v>
      </c>
      <c r="D40" s="26" t="s">
        <v>37</v>
      </c>
    </row>
    <row r="41" spans="1:4" x14ac:dyDescent="0.35">
      <c r="A41" s="26"/>
      <c r="B41" s="26"/>
      <c r="C41" s="26"/>
      <c r="D41" s="26"/>
    </row>
    <row r="42" spans="1:4" s="94" customFormat="1" x14ac:dyDescent="0.35">
      <c r="A42" s="31" t="s">
        <v>38</v>
      </c>
      <c r="B42" s="31"/>
      <c r="C42" s="31" t="s">
        <v>38</v>
      </c>
      <c r="D42" s="4" t="s">
        <v>39</v>
      </c>
    </row>
    <row r="43" spans="1:4" s="94" customFormat="1" x14ac:dyDescent="0.35">
      <c r="A43" s="31" t="s">
        <v>40</v>
      </c>
      <c r="B43" s="31"/>
      <c r="C43" s="31" t="s">
        <v>40</v>
      </c>
      <c r="D43" s="5"/>
    </row>
    <row r="44" spans="1:4" s="94" customFormat="1" x14ac:dyDescent="0.35">
      <c r="A44" s="31" t="s">
        <v>41</v>
      </c>
      <c r="B44" s="31"/>
      <c r="C44" s="31" t="s">
        <v>41</v>
      </c>
      <c r="D44" s="6"/>
    </row>
    <row r="45" spans="1:4" x14ac:dyDescent="0.35">
      <c r="A45" s="26"/>
      <c r="B45" s="26"/>
      <c r="C45" s="26"/>
      <c r="D45" s="26"/>
    </row>
    <row r="46" spans="1:4" s="55" customFormat="1" ht="15.5" x14ac:dyDescent="0.35">
      <c r="A46" s="27" t="s">
        <v>17</v>
      </c>
      <c r="B46" s="27"/>
      <c r="C46" s="27" t="s">
        <v>17</v>
      </c>
      <c r="D46" s="27"/>
    </row>
    <row r="47" spans="1:4" x14ac:dyDescent="0.35">
      <c r="A47" s="26" t="s">
        <v>42</v>
      </c>
      <c r="B47" s="26"/>
      <c r="C47" s="25" t="s">
        <v>42</v>
      </c>
      <c r="D47" s="26"/>
    </row>
    <row r="48" spans="1:4" x14ac:dyDescent="0.35">
      <c r="A48" s="26" t="s">
        <v>43</v>
      </c>
      <c r="B48" s="26"/>
      <c r="C48" s="26" t="s">
        <v>43</v>
      </c>
      <c r="D48" s="26"/>
    </row>
    <row r="49" spans="1:4" x14ac:dyDescent="0.35">
      <c r="A49" s="26"/>
      <c r="B49" s="26"/>
      <c r="C49" s="26"/>
      <c r="D49" s="26"/>
    </row>
    <row r="50" spans="1:4" s="95" customFormat="1" ht="15.5" x14ac:dyDescent="0.35">
      <c r="A50" s="32" t="s">
        <v>12</v>
      </c>
      <c r="B50" s="32" t="s">
        <v>12</v>
      </c>
      <c r="C50" s="32" t="s">
        <v>12</v>
      </c>
      <c r="D50" s="43" t="s">
        <v>143</v>
      </c>
    </row>
    <row r="51" spans="1:4" s="94" customFormat="1" x14ac:dyDescent="0.35">
      <c r="A51" s="31"/>
      <c r="B51" s="31" t="s">
        <v>45</v>
      </c>
      <c r="C51" s="31" t="s">
        <v>45</v>
      </c>
      <c r="D51" s="15"/>
    </row>
    <row r="52" spans="1:4" s="94" customFormat="1" x14ac:dyDescent="0.35">
      <c r="A52" s="31"/>
      <c r="B52" s="31" t="s">
        <v>45</v>
      </c>
      <c r="C52" s="31" t="s">
        <v>45</v>
      </c>
      <c r="D52" s="15"/>
    </row>
    <row r="53" spans="1:4" s="94" customFormat="1" x14ac:dyDescent="0.35">
      <c r="A53" s="31"/>
      <c r="B53" s="31" t="s">
        <v>45</v>
      </c>
      <c r="C53" s="31" t="s">
        <v>45</v>
      </c>
      <c r="D53" s="16"/>
    </row>
    <row r="54" spans="1:4" x14ac:dyDescent="0.35">
      <c r="A54" s="26"/>
      <c r="B54" s="26"/>
      <c r="C54" s="26"/>
      <c r="D54" s="26"/>
    </row>
    <row r="55" spans="1:4" s="96" customFormat="1" ht="18.5" x14ac:dyDescent="0.45">
      <c r="A55" s="33" t="s">
        <v>46</v>
      </c>
      <c r="B55" s="33"/>
      <c r="C55" s="33" t="s">
        <v>46</v>
      </c>
      <c r="D55" s="33"/>
    </row>
    <row r="56" spans="1:4" s="46" customFormat="1" x14ac:dyDescent="0.35">
      <c r="A56" s="25" t="s">
        <v>47</v>
      </c>
      <c r="B56" s="25"/>
      <c r="C56" s="25" t="s">
        <v>47</v>
      </c>
      <c r="D56" s="25"/>
    </row>
    <row r="57" spans="1:4" s="46" customFormat="1" x14ac:dyDescent="0.35">
      <c r="A57" s="25" t="s">
        <v>42</v>
      </c>
      <c r="B57" s="25"/>
      <c r="C57" s="25" t="s">
        <v>42</v>
      </c>
      <c r="D57" s="25"/>
    </row>
    <row r="58" spans="1:4" s="78" customFormat="1" x14ac:dyDescent="0.35">
      <c r="A58" s="34" t="s">
        <v>48</v>
      </c>
      <c r="B58" s="34" t="s">
        <v>49</v>
      </c>
      <c r="C58" s="41" t="s">
        <v>50</v>
      </c>
      <c r="D58" s="34"/>
    </row>
    <row r="59" spans="1:4" x14ac:dyDescent="0.35">
      <c r="A59" s="26"/>
      <c r="B59" s="26"/>
      <c r="C59" s="26"/>
      <c r="D59" s="26"/>
    </row>
    <row r="60" spans="1:4" s="46" customFormat="1" x14ac:dyDescent="0.35">
      <c r="A60" s="25" t="s">
        <v>51</v>
      </c>
      <c r="B60" s="25"/>
      <c r="C60" s="25" t="s">
        <v>51</v>
      </c>
      <c r="D60" s="25"/>
    </row>
    <row r="61" spans="1:4" x14ac:dyDescent="0.35">
      <c r="A61" s="26" t="s">
        <v>52</v>
      </c>
      <c r="B61" s="26"/>
      <c r="C61" s="26" t="s">
        <v>52</v>
      </c>
      <c r="D61" s="7" t="s">
        <v>53</v>
      </c>
    </row>
    <row r="62" spans="1:4" x14ac:dyDescent="0.35">
      <c r="A62" s="26" t="s">
        <v>54</v>
      </c>
      <c r="B62" s="26"/>
      <c r="C62" s="26" t="s">
        <v>54</v>
      </c>
      <c r="D62" s="8"/>
    </row>
    <row r="63" spans="1:4" x14ac:dyDescent="0.35">
      <c r="A63" s="26" t="s">
        <v>55</v>
      </c>
      <c r="B63" s="26"/>
      <c r="C63" s="26" t="s">
        <v>55</v>
      </c>
      <c r="D63" s="8"/>
    </row>
    <row r="64" spans="1:4" x14ac:dyDescent="0.35">
      <c r="A64" s="26" t="s">
        <v>56</v>
      </c>
      <c r="B64" s="26"/>
      <c r="C64" s="26" t="s">
        <v>56</v>
      </c>
      <c r="D64" s="8"/>
    </row>
    <row r="65" spans="1:4" x14ac:dyDescent="0.35">
      <c r="A65" s="26" t="s">
        <v>57</v>
      </c>
      <c r="B65" s="26"/>
      <c r="C65" s="26" t="s">
        <v>57</v>
      </c>
      <c r="D65" s="9"/>
    </row>
    <row r="66" spans="1:4" x14ac:dyDescent="0.35">
      <c r="A66" s="26"/>
      <c r="B66" s="26"/>
      <c r="C66" s="26"/>
      <c r="D66" s="26"/>
    </row>
    <row r="67" spans="1:4" s="47" customFormat="1" ht="18.5" x14ac:dyDescent="0.45">
      <c r="A67" s="35" t="s">
        <v>58</v>
      </c>
      <c r="B67" s="35"/>
      <c r="C67" s="35" t="s">
        <v>58</v>
      </c>
      <c r="D67" s="35"/>
    </row>
    <row r="68" spans="1:4" s="46" customFormat="1" x14ac:dyDescent="0.35">
      <c r="A68" s="25" t="s">
        <v>4</v>
      </c>
      <c r="B68" s="25"/>
      <c r="C68" s="25" t="s">
        <v>4</v>
      </c>
      <c r="D68" s="25"/>
    </row>
    <row r="69" spans="1:4" x14ac:dyDescent="0.35">
      <c r="A69" s="26" t="s">
        <v>59</v>
      </c>
      <c r="B69" s="26"/>
      <c r="C69" s="26" t="s">
        <v>59</v>
      </c>
      <c r="D69" s="26"/>
    </row>
    <row r="70" spans="1:4" x14ac:dyDescent="0.35">
      <c r="A70" s="26"/>
      <c r="B70" s="26"/>
      <c r="C70" s="26"/>
      <c r="D70" s="26"/>
    </row>
    <row r="71" spans="1:4" s="46" customFormat="1" x14ac:dyDescent="0.35">
      <c r="A71" s="25" t="s">
        <v>60</v>
      </c>
      <c r="B71" s="25"/>
      <c r="C71" s="25" t="s">
        <v>60</v>
      </c>
      <c r="D71" s="25"/>
    </row>
    <row r="72" spans="1:4" x14ac:dyDescent="0.35">
      <c r="A72" s="26" t="s">
        <v>61</v>
      </c>
      <c r="B72" s="26"/>
      <c r="C72" s="26" t="s">
        <v>61</v>
      </c>
      <c r="D72" s="26"/>
    </row>
    <row r="73" spans="1:4" x14ac:dyDescent="0.35">
      <c r="A73" s="26"/>
      <c r="B73" s="26"/>
      <c r="C73" s="26"/>
      <c r="D73" s="26"/>
    </row>
    <row r="74" spans="1:4" s="55" customFormat="1" ht="15.5" x14ac:dyDescent="0.35">
      <c r="A74" s="27" t="s">
        <v>62</v>
      </c>
      <c r="B74" s="27"/>
      <c r="C74" s="27" t="s">
        <v>62</v>
      </c>
      <c r="D74" s="27"/>
    </row>
    <row r="75" spans="1:4" s="46" customFormat="1" x14ac:dyDescent="0.35">
      <c r="A75" s="25" t="s">
        <v>18</v>
      </c>
      <c r="B75" s="25"/>
      <c r="C75" s="25" t="s">
        <v>18</v>
      </c>
      <c r="D75" s="25"/>
    </row>
    <row r="76" spans="1:4" x14ac:dyDescent="0.35">
      <c r="A76" s="26" t="s">
        <v>63</v>
      </c>
      <c r="B76" s="26"/>
      <c r="C76" s="26" t="s">
        <v>63</v>
      </c>
      <c r="D76" s="26"/>
    </row>
    <row r="77" spans="1:4" x14ac:dyDescent="0.35">
      <c r="A77" s="26"/>
      <c r="B77" s="26"/>
      <c r="C77" s="26"/>
      <c r="D77" s="26"/>
    </row>
    <row r="78" spans="1:4" s="97" customFormat="1" ht="18.5" x14ac:dyDescent="0.45">
      <c r="A78" s="29" t="s">
        <v>64</v>
      </c>
      <c r="B78" s="29"/>
      <c r="C78" s="29" t="s">
        <v>64</v>
      </c>
      <c r="D78" s="29"/>
    </row>
    <row r="79" spans="1:4" s="46" customFormat="1" x14ac:dyDescent="0.35">
      <c r="A79" s="25" t="s">
        <v>42</v>
      </c>
      <c r="B79" s="25"/>
      <c r="C79" s="25" t="s">
        <v>60</v>
      </c>
      <c r="D79" s="25"/>
    </row>
    <row r="80" spans="1:4" s="78" customFormat="1" x14ac:dyDescent="0.35">
      <c r="A80" s="34" t="s">
        <v>65</v>
      </c>
      <c r="B80" s="34" t="s">
        <v>66</v>
      </c>
      <c r="C80" s="41" t="s">
        <v>66</v>
      </c>
      <c r="D80" s="34"/>
    </row>
    <row r="81" spans="1:4" x14ac:dyDescent="0.35">
      <c r="A81" s="26"/>
      <c r="B81" s="26"/>
      <c r="C81" s="26"/>
      <c r="D81" s="26"/>
    </row>
    <row r="82" spans="1:4" s="46" customFormat="1" x14ac:dyDescent="0.35">
      <c r="A82" s="25" t="s">
        <v>60</v>
      </c>
      <c r="B82" s="25"/>
      <c r="C82" s="25" t="s">
        <v>60</v>
      </c>
      <c r="D82" s="25"/>
    </row>
    <row r="83" spans="1:4" x14ac:dyDescent="0.35">
      <c r="A83" s="26" t="s">
        <v>67</v>
      </c>
      <c r="B83" s="26"/>
      <c r="C83" s="26" t="s">
        <v>67</v>
      </c>
      <c r="D83" s="26"/>
    </row>
    <row r="84" spans="1:4" x14ac:dyDescent="0.35">
      <c r="A84" s="26"/>
      <c r="B84" s="26"/>
      <c r="C84" s="26"/>
      <c r="D84" s="26"/>
    </row>
    <row r="85" spans="1:4" s="94" customFormat="1" x14ac:dyDescent="0.35">
      <c r="A85" s="31" t="s">
        <v>68</v>
      </c>
      <c r="B85" s="31"/>
      <c r="C85" s="31" t="s">
        <v>68</v>
      </c>
      <c r="D85" s="31" t="s">
        <v>69</v>
      </c>
    </row>
    <row r="86" spans="1:4" x14ac:dyDescent="0.35">
      <c r="A86" s="26"/>
      <c r="B86" s="26"/>
      <c r="C86" s="26"/>
      <c r="D86" s="26"/>
    </row>
    <row r="87" spans="1:4" s="46" customFormat="1" x14ac:dyDescent="0.35">
      <c r="A87" s="25" t="s">
        <v>60</v>
      </c>
      <c r="B87" s="25"/>
      <c r="C87" s="25" t="s">
        <v>60</v>
      </c>
      <c r="D87" s="25"/>
    </row>
    <row r="88" spans="1:4" x14ac:dyDescent="0.35">
      <c r="A88" s="26" t="s">
        <v>70</v>
      </c>
      <c r="B88" s="26"/>
      <c r="C88" s="26" t="s">
        <v>70</v>
      </c>
      <c r="D88" s="26"/>
    </row>
    <row r="89" spans="1:4" x14ac:dyDescent="0.35">
      <c r="A89" s="26"/>
      <c r="B89" s="26"/>
      <c r="C89" s="26"/>
      <c r="D89" s="26"/>
    </row>
    <row r="90" spans="1:4" s="46" customFormat="1" x14ac:dyDescent="0.35">
      <c r="A90" s="25" t="s">
        <v>71</v>
      </c>
      <c r="B90" s="25"/>
      <c r="C90" s="25" t="s">
        <v>71</v>
      </c>
      <c r="D90" s="25"/>
    </row>
    <row r="91" spans="1:4" x14ac:dyDescent="0.35">
      <c r="A91" s="26" t="s">
        <v>72</v>
      </c>
      <c r="B91" s="26"/>
      <c r="C91" s="26" t="s">
        <v>72</v>
      </c>
      <c r="D91" s="26"/>
    </row>
    <row r="92" spans="1:4" x14ac:dyDescent="0.35">
      <c r="A92" s="26" t="s">
        <v>73</v>
      </c>
      <c r="B92" s="26"/>
      <c r="C92" s="26" t="s">
        <v>73</v>
      </c>
      <c r="D92" s="26"/>
    </row>
    <row r="93" spans="1:4" x14ac:dyDescent="0.35">
      <c r="A93" s="26"/>
      <c r="B93" s="26"/>
      <c r="C93" s="26"/>
      <c r="D93" s="26"/>
    </row>
    <row r="94" spans="1:4" s="46" customFormat="1" x14ac:dyDescent="0.35">
      <c r="A94" s="25" t="s">
        <v>51</v>
      </c>
      <c r="B94" s="25" t="s">
        <v>51</v>
      </c>
      <c r="C94" s="25" t="s">
        <v>51</v>
      </c>
      <c r="D94" s="25"/>
    </row>
    <row r="95" spans="1:4" x14ac:dyDescent="0.35">
      <c r="A95" s="26" t="s">
        <v>74</v>
      </c>
      <c r="B95" s="26" t="s">
        <v>75</v>
      </c>
      <c r="C95" s="26" t="s">
        <v>75</v>
      </c>
      <c r="D95" s="26"/>
    </row>
    <row r="96" spans="1:4" x14ac:dyDescent="0.35">
      <c r="A96" s="26"/>
      <c r="B96" s="26"/>
      <c r="C96" s="26"/>
      <c r="D96" s="26"/>
    </row>
    <row r="97" spans="1:4" x14ac:dyDescent="0.35">
      <c r="A97" s="26"/>
      <c r="B97" s="26" t="s">
        <v>76</v>
      </c>
      <c r="C97" s="26" t="s">
        <v>76</v>
      </c>
      <c r="D97" s="30" t="s">
        <v>31</v>
      </c>
    </row>
    <row r="98" spans="1:4" x14ac:dyDescent="0.35">
      <c r="A98" s="26"/>
      <c r="B98" s="26"/>
      <c r="C98" s="26"/>
      <c r="D98" s="26"/>
    </row>
    <row r="99" spans="1:4" x14ac:dyDescent="0.35">
      <c r="A99" s="26"/>
      <c r="B99" s="26"/>
      <c r="C99" s="26"/>
      <c r="D99" s="26"/>
    </row>
    <row r="100" spans="1:4" s="97" customFormat="1" ht="18.5" x14ac:dyDescent="0.45">
      <c r="A100" s="29" t="s">
        <v>77</v>
      </c>
      <c r="B100" s="29"/>
      <c r="C100" s="29"/>
      <c r="D100" s="29"/>
    </row>
    <row r="101" spans="1:4" x14ac:dyDescent="0.35">
      <c r="A101" s="26"/>
      <c r="B101" s="26"/>
      <c r="C101" s="26"/>
      <c r="D101" s="26"/>
    </row>
    <row r="102" spans="1:4" s="46" customFormat="1" x14ac:dyDescent="0.35">
      <c r="A102" s="25" t="s">
        <v>51</v>
      </c>
      <c r="B102" s="25"/>
      <c r="C102" s="25" t="s">
        <v>51</v>
      </c>
      <c r="D102" s="25"/>
    </row>
    <row r="103" spans="1:4" x14ac:dyDescent="0.35">
      <c r="A103" s="26" t="s">
        <v>78</v>
      </c>
      <c r="B103" s="26" t="s">
        <v>79</v>
      </c>
      <c r="C103" s="30" t="s">
        <v>80</v>
      </c>
      <c r="D103" s="26"/>
    </row>
    <row r="104" spans="1:4" x14ac:dyDescent="0.35">
      <c r="A104" s="26" t="s">
        <v>81</v>
      </c>
      <c r="B104" s="10">
        <v>1585</v>
      </c>
      <c r="C104" s="11" t="s">
        <v>82</v>
      </c>
      <c r="D104" s="26"/>
    </row>
    <row r="105" spans="1:4" x14ac:dyDescent="0.35">
      <c r="A105" s="26" t="s">
        <v>83</v>
      </c>
      <c r="B105" s="26" t="s">
        <v>84</v>
      </c>
      <c r="C105" s="30" t="s">
        <v>83</v>
      </c>
      <c r="D105" s="26"/>
    </row>
    <row r="106" spans="1:4" x14ac:dyDescent="0.35">
      <c r="A106" s="26" t="s">
        <v>85</v>
      </c>
      <c r="B106" s="10">
        <v>1580</v>
      </c>
      <c r="C106" s="11" t="s">
        <v>85</v>
      </c>
      <c r="D106" s="26"/>
    </row>
    <row r="107" spans="1:4" x14ac:dyDescent="0.35">
      <c r="A107" s="26" t="s">
        <v>86</v>
      </c>
      <c r="B107" s="10" t="s">
        <v>87</v>
      </c>
      <c r="C107" s="11" t="s">
        <v>88</v>
      </c>
      <c r="D107" s="26"/>
    </row>
    <row r="108" spans="1:4" x14ac:dyDescent="0.35">
      <c r="A108" s="26"/>
      <c r="B108" s="26"/>
      <c r="C108" s="26"/>
      <c r="D108" s="26"/>
    </row>
    <row r="109" spans="1:4" s="97" customFormat="1" ht="18.5" x14ac:dyDescent="0.45">
      <c r="A109" s="29" t="s">
        <v>89</v>
      </c>
      <c r="B109" s="29"/>
      <c r="C109" s="29" t="s">
        <v>89</v>
      </c>
      <c r="D109" s="29"/>
    </row>
    <row r="110" spans="1:4" s="46" customFormat="1" x14ac:dyDescent="0.35">
      <c r="A110" s="25" t="s">
        <v>42</v>
      </c>
      <c r="B110" s="25"/>
      <c r="C110" s="25" t="s">
        <v>42</v>
      </c>
      <c r="D110" s="25"/>
    </row>
    <row r="111" spans="1:4" x14ac:dyDescent="0.35">
      <c r="A111" s="26" t="s">
        <v>90</v>
      </c>
      <c r="B111" s="26"/>
      <c r="C111" s="26" t="s">
        <v>90</v>
      </c>
      <c r="D111" s="26"/>
    </row>
    <row r="112" spans="1:4" x14ac:dyDescent="0.35">
      <c r="A112" s="26" t="s">
        <v>91</v>
      </c>
      <c r="B112" s="26"/>
      <c r="C112" s="26" t="s">
        <v>91</v>
      </c>
      <c r="D112" s="26"/>
    </row>
    <row r="113" spans="1:4" x14ac:dyDescent="0.35">
      <c r="A113" s="26"/>
      <c r="B113" s="26"/>
      <c r="C113" s="26"/>
      <c r="D113" s="26"/>
    </row>
    <row r="114" spans="1:4" s="46" customFormat="1" x14ac:dyDescent="0.35">
      <c r="A114" s="25" t="s">
        <v>92</v>
      </c>
      <c r="B114" s="25"/>
      <c r="C114" s="25" t="s">
        <v>92</v>
      </c>
      <c r="D114" s="25"/>
    </row>
    <row r="115" spans="1:4" x14ac:dyDescent="0.35">
      <c r="A115" s="26" t="s">
        <v>93</v>
      </c>
      <c r="B115" s="26"/>
      <c r="C115" s="26" t="s">
        <v>93</v>
      </c>
      <c r="D115" s="26"/>
    </row>
    <row r="116" spans="1:4" x14ac:dyDescent="0.35">
      <c r="A116" s="26" t="s">
        <v>94</v>
      </c>
      <c r="B116" s="10"/>
      <c r="C116" s="26" t="s">
        <v>94</v>
      </c>
      <c r="D116" s="26"/>
    </row>
    <row r="117" spans="1:4" x14ac:dyDescent="0.35">
      <c r="A117" s="26" t="s">
        <v>95</v>
      </c>
      <c r="B117" s="10" t="s">
        <v>96</v>
      </c>
      <c r="C117" s="26" t="s">
        <v>98</v>
      </c>
      <c r="D117" s="26" t="s">
        <v>97</v>
      </c>
    </row>
    <row r="118" spans="1:4" x14ac:dyDescent="0.35">
      <c r="A118" s="26"/>
      <c r="B118" s="26"/>
      <c r="C118" s="26"/>
      <c r="D118" s="26"/>
    </row>
    <row r="119" spans="1:4" s="46" customFormat="1" x14ac:dyDescent="0.35">
      <c r="A119" s="25"/>
      <c r="B119" s="25" t="s">
        <v>51</v>
      </c>
      <c r="C119" s="25" t="s">
        <v>51</v>
      </c>
      <c r="D119" s="25"/>
    </row>
    <row r="120" spans="1:4" x14ac:dyDescent="0.35">
      <c r="A120" s="26" t="s">
        <v>99</v>
      </c>
      <c r="B120" s="26" t="s">
        <v>100</v>
      </c>
      <c r="C120" s="26" t="s">
        <v>100</v>
      </c>
      <c r="D120" s="26"/>
    </row>
    <row r="121" spans="1:4" x14ac:dyDescent="0.35">
      <c r="A121" s="26"/>
      <c r="B121" s="26"/>
      <c r="C121" s="26"/>
      <c r="D121" s="26"/>
    </row>
    <row r="122" spans="1:4" s="55" customFormat="1" ht="15.5" x14ac:dyDescent="0.35">
      <c r="A122" s="27" t="s">
        <v>40</v>
      </c>
      <c r="B122" s="27"/>
      <c r="C122" s="27"/>
      <c r="D122" s="27"/>
    </row>
    <row r="123" spans="1:4" s="18" customFormat="1" x14ac:dyDescent="0.35">
      <c r="A123" s="25" t="s">
        <v>101</v>
      </c>
      <c r="B123" s="17" t="s">
        <v>6</v>
      </c>
      <c r="C123" s="17" t="s">
        <v>6</v>
      </c>
      <c r="D123" s="17"/>
    </row>
    <row r="124" spans="1:4" s="12" customFormat="1" x14ac:dyDescent="0.35">
      <c r="A124" s="10" t="s">
        <v>102</v>
      </c>
      <c r="B124" s="10" t="s">
        <v>103</v>
      </c>
      <c r="C124" s="10" t="s">
        <v>103</v>
      </c>
      <c r="D124" s="10"/>
    </row>
    <row r="125" spans="1:4" s="12" customFormat="1" x14ac:dyDescent="0.35">
      <c r="A125" s="10"/>
      <c r="B125" s="17" t="s">
        <v>42</v>
      </c>
      <c r="C125" s="17" t="s">
        <v>42</v>
      </c>
      <c r="D125" s="10"/>
    </row>
    <row r="126" spans="1:4" s="12" customFormat="1" x14ac:dyDescent="0.35">
      <c r="A126" s="26"/>
      <c r="B126" s="10" t="s">
        <v>104</v>
      </c>
      <c r="C126" s="10" t="s">
        <v>104</v>
      </c>
      <c r="D126" s="10"/>
    </row>
    <row r="127" spans="1:4" s="12" customFormat="1" x14ac:dyDescent="0.35">
      <c r="A127" s="10"/>
      <c r="B127" s="10"/>
      <c r="C127" s="10"/>
      <c r="D127" s="10"/>
    </row>
    <row r="128" spans="1:4" s="20" customFormat="1" ht="15.5" x14ac:dyDescent="0.35">
      <c r="A128" s="19" t="s">
        <v>105</v>
      </c>
      <c r="B128" s="19" t="s">
        <v>105</v>
      </c>
      <c r="C128" s="19" t="s">
        <v>105</v>
      </c>
      <c r="D128" s="27" t="s">
        <v>31</v>
      </c>
    </row>
    <row r="129" spans="1:4" s="12" customFormat="1" x14ac:dyDescent="0.35">
      <c r="A129" s="10"/>
      <c r="B129" s="10" t="s">
        <v>106</v>
      </c>
      <c r="C129" s="10" t="s">
        <v>106</v>
      </c>
      <c r="D129" s="13"/>
    </row>
    <row r="130" spans="1:4" s="12" customFormat="1" x14ac:dyDescent="0.35">
      <c r="A130" s="10"/>
      <c r="B130" s="10" t="s">
        <v>107</v>
      </c>
      <c r="C130" s="10" t="s">
        <v>107</v>
      </c>
      <c r="D130" s="13"/>
    </row>
    <row r="131" spans="1:4" s="12" customFormat="1" x14ac:dyDescent="0.35">
      <c r="A131" s="10"/>
      <c r="B131" s="10" t="s">
        <v>108</v>
      </c>
      <c r="C131" s="10" t="s">
        <v>108</v>
      </c>
      <c r="D131" s="13"/>
    </row>
    <row r="132" spans="1:4" s="12" customFormat="1" x14ac:dyDescent="0.35">
      <c r="A132" s="10"/>
      <c r="B132" s="10"/>
      <c r="C132" s="10"/>
      <c r="D132" s="10"/>
    </row>
    <row r="133" spans="1:4" s="20" customFormat="1" ht="15.5" x14ac:dyDescent="0.35">
      <c r="A133" s="19" t="s">
        <v>109</v>
      </c>
      <c r="B133" s="19" t="s">
        <v>109</v>
      </c>
      <c r="C133" s="19" t="s">
        <v>109</v>
      </c>
      <c r="D133" s="27" t="s">
        <v>31</v>
      </c>
    </row>
    <row r="134" spans="1:4" s="12" customFormat="1" x14ac:dyDescent="0.35">
      <c r="A134" s="10"/>
      <c r="B134" s="10" t="s">
        <v>110</v>
      </c>
      <c r="C134" s="10" t="s">
        <v>110</v>
      </c>
      <c r="D134" s="13"/>
    </row>
    <row r="135" spans="1:4" s="12" customFormat="1" x14ac:dyDescent="0.35">
      <c r="A135" s="10"/>
      <c r="B135" s="10" t="s">
        <v>111</v>
      </c>
      <c r="C135" s="10" t="s">
        <v>111</v>
      </c>
      <c r="D135" s="13"/>
    </row>
    <row r="136" spans="1:4" s="12" customFormat="1" x14ac:dyDescent="0.35">
      <c r="A136" s="10"/>
      <c r="B136" s="10" t="s">
        <v>110</v>
      </c>
      <c r="C136" s="10" t="s">
        <v>110</v>
      </c>
      <c r="D136" s="13"/>
    </row>
    <row r="137" spans="1:4" x14ac:dyDescent="0.35">
      <c r="A137" s="10"/>
      <c r="B137" s="26"/>
      <c r="C137" s="26"/>
      <c r="D137" s="26"/>
    </row>
    <row r="138" spans="1:4" s="97" customFormat="1" ht="18.5" x14ac:dyDescent="0.45">
      <c r="A138" s="29" t="s">
        <v>112</v>
      </c>
      <c r="B138" s="29"/>
      <c r="C138" s="29" t="s">
        <v>112</v>
      </c>
      <c r="D138" s="29"/>
    </row>
    <row r="139" spans="1:4" s="55" customFormat="1" ht="15.5" x14ac:dyDescent="0.35">
      <c r="A139" s="27" t="s">
        <v>62</v>
      </c>
      <c r="B139" s="27"/>
      <c r="C139" s="27" t="s">
        <v>62</v>
      </c>
      <c r="D139" s="27" t="s">
        <v>31</v>
      </c>
    </row>
    <row r="140" spans="1:4" s="46" customFormat="1" x14ac:dyDescent="0.35">
      <c r="A140" s="25" t="s">
        <v>113</v>
      </c>
      <c r="B140" s="25"/>
      <c r="C140" s="25" t="s">
        <v>113</v>
      </c>
      <c r="D140" s="25"/>
    </row>
    <row r="141" spans="1:4" x14ac:dyDescent="0.35">
      <c r="A141" s="26" t="s">
        <v>114</v>
      </c>
      <c r="B141" s="26" t="s">
        <v>115</v>
      </c>
      <c r="C141" s="26" t="s">
        <v>116</v>
      </c>
      <c r="D141" s="26"/>
    </row>
    <row r="142" spans="1:4" x14ac:dyDescent="0.35">
      <c r="A142" s="26"/>
      <c r="B142" s="26"/>
      <c r="C142" s="10"/>
      <c r="D142" s="10"/>
    </row>
    <row r="143" spans="1:4" s="46" customFormat="1" x14ac:dyDescent="0.35">
      <c r="A143" s="25" t="s">
        <v>117</v>
      </c>
      <c r="B143" s="25"/>
      <c r="C143" s="25" t="s">
        <v>117</v>
      </c>
      <c r="D143" s="25"/>
    </row>
    <row r="144" spans="1:4" x14ac:dyDescent="0.35">
      <c r="A144" s="26" t="s">
        <v>118</v>
      </c>
      <c r="B144" s="26" t="s">
        <v>119</v>
      </c>
      <c r="C144" s="26" t="s">
        <v>120</v>
      </c>
      <c r="D144" s="26"/>
    </row>
    <row r="145" spans="1:4" x14ac:dyDescent="0.35">
      <c r="A145" s="26"/>
      <c r="B145" s="26"/>
      <c r="C145" s="26"/>
      <c r="D145" s="26"/>
    </row>
    <row r="146" spans="1:4" s="92" customFormat="1" x14ac:dyDescent="0.35">
      <c r="A146" s="36" t="s">
        <v>121</v>
      </c>
      <c r="B146" s="28"/>
      <c r="C146" s="36" t="s">
        <v>121</v>
      </c>
      <c r="D146" s="28"/>
    </row>
    <row r="147" spans="1:4" s="92" customFormat="1" x14ac:dyDescent="0.35">
      <c r="A147" s="28" t="s">
        <v>122</v>
      </c>
      <c r="B147" s="28"/>
      <c r="C147" s="28" t="s">
        <v>122</v>
      </c>
      <c r="D147" s="28" t="s">
        <v>69</v>
      </c>
    </row>
    <row r="148" spans="1:4" x14ac:dyDescent="0.35">
      <c r="A148" s="26"/>
      <c r="B148" s="26"/>
      <c r="C148" s="26"/>
      <c r="D148" s="26"/>
    </row>
    <row r="149" spans="1:4" s="92" customFormat="1" x14ac:dyDescent="0.35">
      <c r="A149" s="36" t="s">
        <v>18</v>
      </c>
      <c r="B149" s="28"/>
      <c r="C149" s="36" t="s">
        <v>18</v>
      </c>
      <c r="D149" s="28"/>
    </row>
    <row r="150" spans="1:4" s="92" customFormat="1" x14ac:dyDescent="0.35">
      <c r="A150" s="28" t="s">
        <v>123</v>
      </c>
      <c r="B150" s="28"/>
      <c r="C150" s="28" t="s">
        <v>123</v>
      </c>
      <c r="D150" s="28" t="s">
        <v>69</v>
      </c>
    </row>
    <row r="151" spans="1:4" s="92" customFormat="1" x14ac:dyDescent="0.35">
      <c r="A151" s="28" t="s">
        <v>124</v>
      </c>
      <c r="B151" s="28"/>
      <c r="C151" s="28" t="s">
        <v>124</v>
      </c>
      <c r="D151" s="28"/>
    </row>
    <row r="152" spans="1:4" s="92" customFormat="1" x14ac:dyDescent="0.35">
      <c r="A152" s="28" t="s">
        <v>125</v>
      </c>
      <c r="B152" s="28"/>
      <c r="C152" s="28" t="s">
        <v>125</v>
      </c>
      <c r="D152" s="28"/>
    </row>
    <row r="153" spans="1:4" x14ac:dyDescent="0.35">
      <c r="A153" s="26"/>
      <c r="B153" s="26"/>
      <c r="C153" s="26"/>
      <c r="D153" s="26"/>
    </row>
    <row r="154" spans="1:4" s="55" customFormat="1" ht="15.5" x14ac:dyDescent="0.35">
      <c r="A154" s="27" t="s">
        <v>17</v>
      </c>
      <c r="B154" s="27" t="s">
        <v>17</v>
      </c>
      <c r="C154" s="27" t="s">
        <v>17</v>
      </c>
      <c r="D154" s="27"/>
    </row>
    <row r="155" spans="1:4" x14ac:dyDescent="0.35">
      <c r="A155" s="26" t="s">
        <v>126</v>
      </c>
      <c r="B155" s="26" t="s">
        <v>126</v>
      </c>
      <c r="C155" s="25" t="s">
        <v>126</v>
      </c>
      <c r="D155" s="26"/>
    </row>
    <row r="156" spans="1:4" x14ac:dyDescent="0.35">
      <c r="A156" s="26" t="s">
        <v>127</v>
      </c>
      <c r="B156" s="26" t="s">
        <v>128</v>
      </c>
      <c r="C156" s="26" t="s">
        <v>128</v>
      </c>
      <c r="D156" s="26"/>
    </row>
    <row r="157" spans="1:4" x14ac:dyDescent="0.35">
      <c r="A157" s="26"/>
      <c r="B157" s="26" t="s">
        <v>129</v>
      </c>
      <c r="C157" s="26" t="s">
        <v>129</v>
      </c>
      <c r="D157" s="26"/>
    </row>
    <row r="158" spans="1:4" x14ac:dyDescent="0.35">
      <c r="A158" s="26"/>
      <c r="B158" s="26"/>
      <c r="C158" s="26"/>
      <c r="D158" s="26"/>
    </row>
    <row r="159" spans="1:4" x14ac:dyDescent="0.35">
      <c r="A159" s="25" t="s">
        <v>130</v>
      </c>
      <c r="B159" s="26"/>
      <c r="C159" s="26"/>
      <c r="D159" s="26"/>
    </row>
    <row r="160" spans="1:4" x14ac:dyDescent="0.35">
      <c r="A160" s="26"/>
      <c r="B160" s="26"/>
      <c r="C160" s="26"/>
      <c r="D160" s="26"/>
    </row>
    <row r="161" spans="1:4" s="97" customFormat="1" ht="18.5" x14ac:dyDescent="0.45">
      <c r="A161" s="29" t="s">
        <v>131</v>
      </c>
      <c r="B161" s="29"/>
      <c r="C161" s="29" t="s">
        <v>132</v>
      </c>
      <c r="D161" s="21" t="s">
        <v>44</v>
      </c>
    </row>
    <row r="162" spans="1:4" s="92" customFormat="1" x14ac:dyDescent="0.35">
      <c r="A162" s="28" t="s">
        <v>133</v>
      </c>
      <c r="B162" s="28"/>
      <c r="C162" s="42" t="s">
        <v>51</v>
      </c>
      <c r="D162" s="22"/>
    </row>
    <row r="163" spans="1:4" s="92" customFormat="1" x14ac:dyDescent="0.35">
      <c r="A163" s="28"/>
      <c r="B163" s="28"/>
      <c r="C163" s="28" t="s">
        <v>133</v>
      </c>
      <c r="D163" s="23"/>
    </row>
    <row r="164" spans="1:4" x14ac:dyDescent="0.35">
      <c r="A164" s="26"/>
      <c r="B164" s="26"/>
      <c r="C164" s="26"/>
      <c r="D164" s="26"/>
    </row>
    <row r="165" spans="1:4" s="97" customFormat="1" ht="18.5" x14ac:dyDescent="0.45">
      <c r="A165" s="29" t="s">
        <v>134</v>
      </c>
      <c r="B165" s="29"/>
      <c r="C165" s="29" t="s">
        <v>134</v>
      </c>
      <c r="D165" s="29"/>
    </row>
    <row r="166" spans="1:4" x14ac:dyDescent="0.35">
      <c r="A166" s="25" t="s">
        <v>60</v>
      </c>
      <c r="B166" s="26"/>
      <c r="C166" s="25" t="s">
        <v>60</v>
      </c>
      <c r="D166" s="26"/>
    </row>
    <row r="167" spans="1:4" x14ac:dyDescent="0.35">
      <c r="A167" s="26" t="s">
        <v>135</v>
      </c>
      <c r="B167" s="26" t="s">
        <v>136</v>
      </c>
      <c r="C167" s="26" t="s">
        <v>136</v>
      </c>
      <c r="D167" s="26"/>
    </row>
    <row r="168" spans="1:4" x14ac:dyDescent="0.35">
      <c r="A168" s="26"/>
      <c r="B168" s="26"/>
      <c r="C168" s="26"/>
      <c r="D168" s="26"/>
    </row>
    <row r="169" spans="1:4" x14ac:dyDescent="0.35">
      <c r="A169" s="25" t="s">
        <v>137</v>
      </c>
      <c r="B169" s="26"/>
      <c r="C169" s="25" t="s">
        <v>137</v>
      </c>
      <c r="D169" s="26"/>
    </row>
    <row r="170" spans="1:4" ht="29" x14ac:dyDescent="0.35">
      <c r="A170" s="26" t="s">
        <v>138</v>
      </c>
      <c r="B170" s="14" t="s">
        <v>139</v>
      </c>
      <c r="C170" s="14" t="s">
        <v>139</v>
      </c>
      <c r="D170" s="30" t="s">
        <v>31</v>
      </c>
    </row>
    <row r="171" spans="1:4" x14ac:dyDescent="0.35">
      <c r="A171" s="26"/>
      <c r="B171" s="26"/>
      <c r="C171" s="26"/>
      <c r="D171" s="26"/>
    </row>
    <row r="172" spans="1:4" ht="15.5" x14ac:dyDescent="0.35">
      <c r="A172" s="27" t="s">
        <v>17</v>
      </c>
      <c r="B172" s="26"/>
      <c r="C172" s="26"/>
      <c r="D172" s="26"/>
    </row>
    <row r="173" spans="1:4" x14ac:dyDescent="0.35">
      <c r="A173" s="25" t="s">
        <v>51</v>
      </c>
      <c r="B173" s="26"/>
      <c r="C173" s="25" t="s">
        <v>51</v>
      </c>
      <c r="D173" s="26"/>
    </row>
    <row r="174" spans="1:4" s="78" customFormat="1" x14ac:dyDescent="0.35">
      <c r="A174" s="34" t="s">
        <v>43</v>
      </c>
      <c r="C174" s="34" t="s">
        <v>141</v>
      </c>
      <c r="D174" s="34" t="s">
        <v>140</v>
      </c>
    </row>
    <row r="175" spans="1:4" s="78" customFormat="1" x14ac:dyDescent="0.35">
      <c r="A175" s="34"/>
      <c r="B175" s="34"/>
      <c r="C175" s="34" t="s">
        <v>142</v>
      </c>
      <c r="D175" s="34"/>
    </row>
    <row r="176" spans="1:4" s="78" customFormat="1" x14ac:dyDescent="0.35">
      <c r="A176" s="34"/>
      <c r="B176" s="34"/>
      <c r="C176" s="34"/>
      <c r="D176" s="34"/>
    </row>
    <row r="177" spans="1:4" s="78" customFormat="1" x14ac:dyDescent="0.35">
      <c r="A177" s="54" t="s">
        <v>18</v>
      </c>
      <c r="B177" s="34"/>
      <c r="C177" s="54" t="s">
        <v>18</v>
      </c>
      <c r="D177" s="34"/>
    </row>
    <row r="178" spans="1:4" s="78" customFormat="1" x14ac:dyDescent="0.35">
      <c r="A178" s="34"/>
      <c r="B178" s="34"/>
      <c r="C178" s="34"/>
      <c r="D178" s="34"/>
    </row>
    <row r="179" spans="1:4" x14ac:dyDescent="0.35">
      <c r="A179" s="26"/>
      <c r="B179" s="26"/>
      <c r="D179" s="26"/>
    </row>
    <row r="180" spans="1:4" x14ac:dyDescent="0.35">
      <c r="A180" s="26"/>
      <c r="B180" s="26"/>
      <c r="C180" s="26"/>
      <c r="D180" s="26"/>
    </row>
  </sheetData>
  <mergeCells count="4">
    <mergeCell ref="D161:D163"/>
    <mergeCell ref="D42:D44"/>
    <mergeCell ref="D61:D65"/>
    <mergeCell ref="D50:D53"/>
  </mergeCells>
  <pageMargins left="0.7" right="0.7" top="0.75" bottom="0.75" header="0.3" footer="0.3"/>
  <pageSetup scale="64" orientation="portrait" horizontalDpi="0" verticalDpi="0" r:id="rId1"/>
  <rowBreaks count="2" manualBreakCount="2">
    <brk id="66" max="16383" man="1"/>
    <brk id="13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24043-FE21-4A65-94E5-8C9B2D49E54B}">
  <dimension ref="A1:I32"/>
  <sheetViews>
    <sheetView tabSelected="1" workbookViewId="0">
      <pane ySplit="1" topLeftCell="A8" activePane="bottomLeft" state="frozen"/>
      <selection pane="bottomLeft" activeCell="H1" sqref="H1:H1048576"/>
    </sheetView>
  </sheetViews>
  <sheetFormatPr defaultRowHeight="14.5" x14ac:dyDescent="0.35"/>
  <cols>
    <col min="1" max="1" width="20.54296875" style="37" bestFit="1" customWidth="1"/>
    <col min="2" max="2" width="9.36328125" style="37" bestFit="1" customWidth="1"/>
    <col min="3" max="3" width="8.81640625" style="37" bestFit="1" customWidth="1"/>
    <col min="4" max="4" width="12.54296875" style="37" customWidth="1"/>
    <col min="5" max="5" width="9.81640625" style="37" customWidth="1"/>
    <col min="6" max="6" width="10.1796875" style="37" customWidth="1"/>
    <col min="7" max="7" width="16.90625" style="37" bestFit="1" customWidth="1"/>
    <col min="8" max="8" width="32" style="87" customWidth="1"/>
    <col min="9" max="9" width="18" style="37" customWidth="1"/>
    <col min="10" max="16384" width="8.7265625" style="37"/>
  </cols>
  <sheetData>
    <row r="1" spans="1:9" s="53" customFormat="1" ht="38.5" customHeight="1" thickBot="1" x14ac:dyDescent="0.4">
      <c r="A1" s="51"/>
      <c r="B1" s="52" t="s">
        <v>4</v>
      </c>
      <c r="C1" s="52" t="s">
        <v>25</v>
      </c>
      <c r="D1" s="52" t="s">
        <v>60</v>
      </c>
      <c r="E1" s="52" t="s">
        <v>71</v>
      </c>
      <c r="F1" s="52" t="s">
        <v>51</v>
      </c>
      <c r="G1" s="52" t="s">
        <v>148</v>
      </c>
      <c r="H1" s="100" t="s">
        <v>151</v>
      </c>
    </row>
    <row r="2" spans="1:9" x14ac:dyDescent="0.35">
      <c r="A2" s="50"/>
      <c r="B2" s="50">
        <f>2040 + 3520 + 2040 + 3520</f>
        <v>11120</v>
      </c>
      <c r="C2" s="50">
        <v>8550</v>
      </c>
      <c r="D2" s="50">
        <v>1430</v>
      </c>
      <c r="E2" s="50">
        <f>4880</f>
        <v>4880</v>
      </c>
      <c r="F2" s="50">
        <v>900</v>
      </c>
      <c r="G2" s="98">
        <v>1750</v>
      </c>
      <c r="H2" s="99">
        <v>275</v>
      </c>
      <c r="I2" s="88" t="s">
        <v>149</v>
      </c>
    </row>
    <row r="3" spans="1:9" x14ac:dyDescent="0.35">
      <c r="A3" s="26"/>
      <c r="B3" s="26">
        <v>290</v>
      </c>
      <c r="D3" s="26">
        <f>1520 + 1520</f>
        <v>3040</v>
      </c>
      <c r="E3" s="26">
        <f>3660+3950+3660</f>
        <v>11270</v>
      </c>
      <c r="F3" s="26">
        <v>270</v>
      </c>
      <c r="G3" s="26"/>
      <c r="H3" s="79">
        <v>1035</v>
      </c>
      <c r="I3" s="89" t="s">
        <v>12</v>
      </c>
    </row>
    <row r="4" spans="1:9" x14ac:dyDescent="0.35">
      <c r="A4" s="26"/>
      <c r="B4" s="44">
        <f>4445+2850</f>
        <v>7295</v>
      </c>
      <c r="D4" s="26">
        <f>1423</f>
        <v>1423</v>
      </c>
      <c r="E4" s="34">
        <v>1450</v>
      </c>
      <c r="F4" s="26">
        <f xml:space="preserve"> 1175*5</f>
        <v>5875</v>
      </c>
      <c r="G4" s="26"/>
      <c r="H4" s="79">
        <v>500</v>
      </c>
      <c r="I4" s="89"/>
    </row>
    <row r="5" spans="1:9" x14ac:dyDescent="0.35">
      <c r="A5" s="26"/>
      <c r="B5" s="26">
        <f>3490+3490+3490+3490</f>
        <v>13960</v>
      </c>
      <c r="C5" s="26"/>
      <c r="D5" s="28" t="s">
        <v>10</v>
      </c>
      <c r="E5" s="26">
        <f>4655+2200+4655+2880+2205+2880</f>
        <v>19475</v>
      </c>
      <c r="F5" s="26">
        <v>1580</v>
      </c>
      <c r="G5" s="26"/>
      <c r="H5" s="79">
        <v>500</v>
      </c>
      <c r="I5" s="89"/>
    </row>
    <row r="6" spans="1:9" ht="18.5" x14ac:dyDescent="0.45">
      <c r="A6" s="26"/>
      <c r="B6" s="26">
        <v>5070</v>
      </c>
      <c r="C6" s="26"/>
      <c r="D6" s="26">
        <f>540</f>
        <v>540</v>
      </c>
      <c r="E6" s="35"/>
      <c r="F6" s="26">
        <f xml:space="preserve"> 1190*12</f>
        <v>14280</v>
      </c>
      <c r="G6" s="26"/>
      <c r="H6" s="79">
        <v>495</v>
      </c>
      <c r="I6" s="89" t="s">
        <v>150</v>
      </c>
    </row>
    <row r="7" spans="1:9" x14ac:dyDescent="0.35">
      <c r="A7" s="26"/>
      <c r="B7" s="28" t="s">
        <v>91</v>
      </c>
      <c r="C7" s="26"/>
      <c r="D7" s="26">
        <f>1120</f>
        <v>1120</v>
      </c>
      <c r="E7" s="26"/>
      <c r="F7" s="26">
        <v>1580</v>
      </c>
      <c r="G7" s="26"/>
      <c r="H7" s="79">
        <v>970</v>
      </c>
      <c r="I7" s="89"/>
    </row>
    <row r="8" spans="1:9" x14ac:dyDescent="0.35">
      <c r="A8" s="26"/>
      <c r="B8" s="45">
        <f>2900</f>
        <v>2900</v>
      </c>
      <c r="C8" s="26"/>
      <c r="D8" s="26">
        <v>540</v>
      </c>
      <c r="E8" s="26"/>
      <c r="F8" s="26">
        <f xml:space="preserve"> 1170*6</f>
        <v>7020</v>
      </c>
      <c r="G8" s="26"/>
      <c r="H8" s="79">
        <v>495</v>
      </c>
      <c r="I8" s="89"/>
    </row>
    <row r="9" spans="1:9" ht="15.5" customHeight="1" x14ac:dyDescent="0.35">
      <c r="A9" s="26"/>
      <c r="B9" s="26">
        <f>7500+7540</f>
        <v>15040</v>
      </c>
      <c r="C9" s="26"/>
      <c r="D9" s="26">
        <f>240+4060+420+4650</f>
        <v>9370</v>
      </c>
      <c r="E9" s="26"/>
      <c r="F9" s="26">
        <v>1740</v>
      </c>
      <c r="G9" s="26"/>
      <c r="H9" s="80">
        <v>920</v>
      </c>
      <c r="I9" s="90" t="s">
        <v>12</v>
      </c>
    </row>
    <row r="10" spans="1:9" ht="15.5" customHeight="1" x14ac:dyDescent="0.35">
      <c r="A10" s="26"/>
      <c r="B10" s="26"/>
      <c r="C10" s="26"/>
      <c r="D10" s="26">
        <f>444</f>
        <v>444</v>
      </c>
      <c r="E10" s="26"/>
      <c r="F10" s="26">
        <v>3240</v>
      </c>
      <c r="G10" s="26"/>
      <c r="H10" s="80">
        <v>920</v>
      </c>
      <c r="I10" s="90"/>
    </row>
    <row r="11" spans="1:9" ht="14.5" customHeight="1" x14ac:dyDescent="0.35">
      <c r="A11" s="26"/>
      <c r="B11" s="26"/>
      <c r="C11" s="26"/>
      <c r="D11" s="26">
        <f xml:space="preserve"> 920</f>
        <v>920</v>
      </c>
      <c r="E11" s="26"/>
      <c r="G11" s="26"/>
      <c r="H11" s="80">
        <v>920</v>
      </c>
      <c r="I11" s="90"/>
    </row>
    <row r="12" spans="1:9" ht="14.5" customHeight="1" x14ac:dyDescent="0.35">
      <c r="A12" s="26"/>
      <c r="B12" s="26"/>
      <c r="C12" s="26"/>
      <c r="D12" s="26">
        <v>444</v>
      </c>
      <c r="E12" s="26"/>
      <c r="F12" s="30">
        <f>1190*6</f>
        <v>7140</v>
      </c>
      <c r="G12" s="26"/>
      <c r="H12" s="45"/>
    </row>
    <row r="13" spans="1:9" x14ac:dyDescent="0.35">
      <c r="A13" s="26"/>
      <c r="B13" s="26"/>
      <c r="C13" s="26"/>
      <c r="D13" s="75">
        <v>1750</v>
      </c>
      <c r="E13" s="26"/>
      <c r="F13" s="48">
        <f>1585</f>
        <v>1585</v>
      </c>
      <c r="G13" s="26"/>
      <c r="H13" s="81"/>
      <c r="I13" s="78"/>
    </row>
    <row r="14" spans="1:9" x14ac:dyDescent="0.35">
      <c r="A14" s="26"/>
      <c r="B14" s="26"/>
      <c r="C14" s="26"/>
      <c r="D14" s="26">
        <f>330+2460+4920</f>
        <v>7710</v>
      </c>
      <c r="E14" s="26"/>
      <c r="F14" s="30">
        <f xml:space="preserve"> 1200*12</f>
        <v>14400</v>
      </c>
      <c r="G14" s="26"/>
      <c r="H14" s="81"/>
      <c r="I14" s="78"/>
    </row>
    <row r="15" spans="1:9" x14ac:dyDescent="0.35">
      <c r="A15" s="26"/>
      <c r="B15" s="26"/>
      <c r="C15" s="26"/>
      <c r="D15" s="41">
        <f>2700+4880</f>
        <v>7580</v>
      </c>
      <c r="E15" s="26"/>
      <c r="F15" s="48">
        <v>1580</v>
      </c>
      <c r="G15" s="26"/>
      <c r="H15" s="45"/>
    </row>
    <row r="16" spans="1:9" x14ac:dyDescent="0.35">
      <c r="A16" s="26"/>
      <c r="B16" s="26"/>
      <c r="C16" s="26"/>
      <c r="D16" s="34">
        <f>2880+3480+2880+3480</f>
        <v>12720</v>
      </c>
      <c r="E16" s="26"/>
      <c r="F16" s="48">
        <f xml:space="preserve"> 1160*7</f>
        <v>8120</v>
      </c>
      <c r="G16" s="26"/>
      <c r="H16" s="45"/>
    </row>
    <row r="17" spans="1:8" x14ac:dyDescent="0.35">
      <c r="A17" s="26"/>
      <c r="B17" s="26"/>
      <c r="C17" s="26"/>
      <c r="D17" s="34">
        <f>3880+4140</f>
        <v>8020</v>
      </c>
      <c r="E17" s="26"/>
      <c r="F17" s="26">
        <f xml:space="preserve"> 1438+1810+1438</f>
        <v>4686</v>
      </c>
      <c r="G17" s="26"/>
      <c r="H17" s="45"/>
    </row>
    <row r="18" spans="1:8" x14ac:dyDescent="0.35">
      <c r="A18" s="26"/>
      <c r="B18" s="26"/>
      <c r="C18" s="26"/>
      <c r="D18" s="26">
        <f xml:space="preserve"> 2790+3390+2790+3390</f>
        <v>12360</v>
      </c>
      <c r="E18" s="26"/>
      <c r="F18" s="28" t="s">
        <v>123</v>
      </c>
      <c r="G18" s="26"/>
      <c r="H18" s="45"/>
    </row>
    <row r="19" spans="1:8" x14ac:dyDescent="0.35">
      <c r="A19" s="26"/>
      <c r="B19" s="26"/>
      <c r="C19" s="26"/>
      <c r="D19" s="26">
        <v>5300</v>
      </c>
      <c r="E19" s="26"/>
      <c r="F19" s="34">
        <f>500+500+500</f>
        <v>1500</v>
      </c>
      <c r="G19" s="26"/>
      <c r="H19" s="45"/>
    </row>
    <row r="20" spans="1:8" x14ac:dyDescent="0.35">
      <c r="A20" s="26"/>
      <c r="B20" s="26"/>
      <c r="C20" s="26"/>
      <c r="D20" s="26">
        <v>3120</v>
      </c>
      <c r="E20" s="26"/>
      <c r="F20" s="34">
        <f>500+500+500</f>
        <v>1500</v>
      </c>
      <c r="G20" s="26"/>
      <c r="H20" s="45"/>
    </row>
    <row r="21" spans="1:8" x14ac:dyDescent="0.35">
      <c r="A21" s="26"/>
      <c r="B21" s="26"/>
      <c r="C21" s="26"/>
      <c r="D21" s="26">
        <v>1240</v>
      </c>
      <c r="E21" s="26"/>
      <c r="F21" s="26">
        <v>230</v>
      </c>
      <c r="G21" s="26"/>
      <c r="H21" s="45"/>
    </row>
    <row r="22" spans="1:8" x14ac:dyDescent="0.35">
      <c r="A22" s="26"/>
      <c r="B22" s="26"/>
      <c r="C22" s="26"/>
      <c r="D22" s="45">
        <f>895</f>
        <v>895</v>
      </c>
      <c r="E22" s="26"/>
      <c r="F22" s="26">
        <v>1600</v>
      </c>
      <c r="G22" s="26"/>
      <c r="H22" s="45"/>
    </row>
    <row r="23" spans="1:8" x14ac:dyDescent="0.35">
      <c r="A23" s="26"/>
      <c r="B23" s="26"/>
      <c r="C23" s="26"/>
      <c r="D23" s="26">
        <f xml:space="preserve"> 3100+4530+3070</f>
        <v>10700</v>
      </c>
      <c r="E23" s="26"/>
      <c r="F23" s="34">
        <v>280</v>
      </c>
      <c r="G23" s="26"/>
      <c r="H23" s="45"/>
    </row>
    <row r="24" spans="1:8" x14ac:dyDescent="0.35">
      <c r="A24" s="26"/>
      <c r="B24" s="26"/>
      <c r="C24" s="26"/>
      <c r="D24" s="26">
        <f>2810+4645+2910</f>
        <v>10365</v>
      </c>
      <c r="E24" s="26"/>
      <c r="F24" s="26">
        <v>1890</v>
      </c>
      <c r="G24" s="26"/>
      <c r="H24" s="45"/>
    </row>
    <row r="25" spans="1:8" x14ac:dyDescent="0.35">
      <c r="A25" s="26"/>
      <c r="B25" s="26"/>
      <c r="C25" s="26"/>
      <c r="D25" s="26"/>
      <c r="E25" s="26"/>
      <c r="F25" s="26">
        <v>290</v>
      </c>
      <c r="G25" s="26"/>
      <c r="H25" s="45"/>
    </row>
    <row r="26" spans="1:8" ht="19" thickBot="1" x14ac:dyDescent="0.5">
      <c r="A26" s="56"/>
      <c r="B26" s="56"/>
      <c r="C26" s="56"/>
      <c r="D26" s="56"/>
      <c r="E26" s="56"/>
      <c r="F26" s="57"/>
      <c r="G26" s="56"/>
      <c r="H26" s="82"/>
    </row>
    <row r="27" spans="1:8" s="55" customFormat="1" ht="16" thickBot="1" x14ac:dyDescent="0.4">
      <c r="A27" s="58" t="s">
        <v>144</v>
      </c>
      <c r="B27" s="59">
        <f>SUM(B2:B19)</f>
        <v>55675</v>
      </c>
      <c r="C27" s="60">
        <f>SUM(C2:C25)</f>
        <v>8550</v>
      </c>
      <c r="D27" s="60">
        <f>SUM(D2:D26)</f>
        <v>101031</v>
      </c>
      <c r="E27" s="60">
        <f>SUM(E2:E26)</f>
        <v>37075</v>
      </c>
      <c r="F27" s="61">
        <f>SUM(F2:F26)</f>
        <v>81286</v>
      </c>
      <c r="G27" s="62">
        <f>SUM(G2:G26)</f>
        <v>1750</v>
      </c>
      <c r="H27" s="83">
        <f>SUM(H2:H25)</f>
        <v>7030</v>
      </c>
    </row>
    <row r="28" spans="1:8" s="55" customFormat="1" ht="16" thickBot="1" x14ac:dyDescent="0.4">
      <c r="A28" s="63" t="s">
        <v>145</v>
      </c>
      <c r="B28" s="64">
        <f>B27/1000</f>
        <v>55.674999999999997</v>
      </c>
      <c r="C28" s="65">
        <f>C27/1000</f>
        <v>8.5500000000000007</v>
      </c>
      <c r="D28" s="65">
        <f>D27/1000</f>
        <v>101.03100000000001</v>
      </c>
      <c r="E28" s="65">
        <f>E27/1000</f>
        <v>37.075000000000003</v>
      </c>
      <c r="F28" s="65">
        <f>F27/1000</f>
        <v>81.286000000000001</v>
      </c>
      <c r="G28" s="66">
        <f>G27/1000</f>
        <v>1.75</v>
      </c>
      <c r="H28" s="66">
        <f>H27/1000</f>
        <v>7.03</v>
      </c>
    </row>
    <row r="29" spans="1:8" x14ac:dyDescent="0.35">
      <c r="A29" s="76"/>
      <c r="B29" s="50"/>
      <c r="C29" s="50"/>
      <c r="D29" s="50"/>
      <c r="E29" s="50"/>
      <c r="F29" s="50"/>
      <c r="G29" s="50"/>
      <c r="H29" s="84"/>
    </row>
    <row r="30" spans="1:8" ht="15" thickBot="1" x14ac:dyDescent="0.4">
      <c r="A30" s="77"/>
      <c r="B30" s="49"/>
      <c r="C30" s="49"/>
      <c r="D30" s="49"/>
      <c r="E30" s="49"/>
      <c r="F30" s="49"/>
      <c r="G30" s="49"/>
      <c r="H30" s="85"/>
    </row>
    <row r="31" spans="1:8" ht="16" thickBot="1" x14ac:dyDescent="0.4">
      <c r="A31" s="67" t="s">
        <v>146</v>
      </c>
      <c r="B31" s="68">
        <v>57.5</v>
      </c>
      <c r="C31" s="69">
        <v>14</v>
      </c>
      <c r="D31" s="69">
        <v>104.5</v>
      </c>
      <c r="E31" s="69">
        <v>67.5</v>
      </c>
      <c r="F31" s="69">
        <v>128.5</v>
      </c>
      <c r="G31" s="70">
        <v>9.1999999999999993</v>
      </c>
      <c r="H31" s="83"/>
    </row>
    <row r="32" spans="1:8" ht="16" thickBot="1" x14ac:dyDescent="0.4">
      <c r="A32" s="71" t="s">
        <v>147</v>
      </c>
      <c r="B32" s="72">
        <f>B31-B28</f>
        <v>1.8250000000000028</v>
      </c>
      <c r="C32" s="73">
        <f t="shared" ref="C32:G32" si="0">C31-C28</f>
        <v>5.4499999999999993</v>
      </c>
      <c r="D32" s="73">
        <f t="shared" si="0"/>
        <v>3.4689999999999941</v>
      </c>
      <c r="E32" s="73">
        <f t="shared" si="0"/>
        <v>30.424999999999997</v>
      </c>
      <c r="F32" s="73">
        <f t="shared" si="0"/>
        <v>47.213999999999999</v>
      </c>
      <c r="G32" s="74">
        <f t="shared" si="0"/>
        <v>7.4499999999999993</v>
      </c>
      <c r="H32" s="86"/>
    </row>
  </sheetData>
  <mergeCells count="3">
    <mergeCell ref="I6:I8"/>
    <mergeCell ref="I3:I5"/>
    <mergeCell ref="I9:I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Updated Sizes</vt:lpstr>
      <vt:lpstr>Qty Comparition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ACCOUNTS</dc:creator>
  <cp:lastModifiedBy>ACCOUNTS</cp:lastModifiedBy>
  <cp:lastPrinted>2025-07-15T06:06:31Z</cp:lastPrinted>
  <dcterms:created xsi:type="dcterms:W3CDTF">2025-07-15T05:42:07Z</dcterms:created>
  <dcterms:modified xsi:type="dcterms:W3CDTF">2025-07-15T11:40:33Z</dcterms:modified>
</cp:coreProperties>
</file>