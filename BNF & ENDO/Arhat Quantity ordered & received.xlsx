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P TECHATRONICS 2022-2023\2025-2026\BNF &amp; ENDO\"/>
    </mc:Choice>
  </mc:AlternateContent>
  <xr:revisionPtr revIDLastSave="0" documentId="13_ncr:1_{0FD62B53-91DA-41B7-BF55-C060BB32E2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NDO" sheetId="2" r:id="rId1"/>
    <sheet name="Underwat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" i="1" l="1"/>
  <c r="Z15" i="1"/>
  <c r="Z16" i="1"/>
  <c r="Z17" i="1"/>
</calcChain>
</file>

<file path=xl/sharedStrings.xml><?xml version="1.0" encoding="utf-8"?>
<sst xmlns="http://schemas.openxmlformats.org/spreadsheetml/2006/main" count="229" uniqueCount="170">
  <si>
    <r>
      <rPr>
        <b/>
        <sz val="7"/>
        <rFont val="Century Gothic"/>
        <family val="2"/>
      </rPr>
      <t>PROJECT : RIVER GLADE VILLAS</t>
    </r>
  </si>
  <si>
    <r>
      <rPr>
        <b/>
        <sz val="7"/>
        <rFont val="Century Gothic"/>
        <family val="2"/>
      </rPr>
      <t>BILL OF QUANTITIES FOR RIVER GLADE VILLAS - Villa 03</t>
    </r>
  </si>
  <si>
    <r>
      <rPr>
        <b/>
        <sz val="7"/>
        <rFont val="Century Gothic"/>
        <family val="2"/>
      </rPr>
      <t>Date: 24 SEPT 2024</t>
    </r>
  </si>
  <si>
    <r>
      <rPr>
        <sz val="7"/>
        <rFont val="Century Gothic"/>
        <family val="2"/>
      </rPr>
      <t xml:space="preserve">Notes : Included are luminaires suggested for - </t>
    </r>
    <r>
      <rPr>
        <b/>
        <sz val="7"/>
        <rFont val="Century Gothic"/>
        <family val="2"/>
      </rPr>
      <t xml:space="preserve">Interior Lighting for VILLA-03
</t>
    </r>
    <r>
      <rPr>
        <sz val="7"/>
        <rFont val="Century Gothic"/>
        <family val="2"/>
      </rPr>
      <t>Kindly Refer the detail specifications with this BOQ. If you Find any descripancies , please get it to our notice before placing final order.</t>
    </r>
  </si>
  <si>
    <r>
      <rPr>
        <b/>
        <sz val="7"/>
        <rFont val="Century Gothic"/>
        <family val="2"/>
      </rPr>
      <t>ENDO ALTERNATES</t>
    </r>
  </si>
  <si>
    <r>
      <rPr>
        <b/>
        <sz val="7"/>
        <rFont val="Century Gothic"/>
        <family val="2"/>
      </rPr>
      <t>Sr No</t>
    </r>
  </si>
  <si>
    <r>
      <rPr>
        <b/>
        <sz val="7"/>
        <rFont val="Century Gothic"/>
        <family val="2"/>
      </rPr>
      <t>Specification Description</t>
    </r>
  </si>
  <si>
    <r>
      <rPr>
        <b/>
        <sz val="7"/>
        <rFont val="Century Gothic"/>
        <family val="2"/>
      </rPr>
      <t>Symbol</t>
    </r>
  </si>
  <si>
    <r>
      <rPr>
        <b/>
        <sz val="7"/>
        <rFont val="Century Gothic"/>
        <family val="2"/>
      </rPr>
      <t>Manufacturer</t>
    </r>
  </si>
  <si>
    <r>
      <rPr>
        <b/>
        <sz val="7"/>
        <rFont val="Century Gothic"/>
        <family val="2"/>
      </rPr>
      <t>Total Quantity</t>
    </r>
  </si>
  <si>
    <r>
      <rPr>
        <b/>
        <sz val="7"/>
        <rFont val="Century Gothic"/>
        <family val="2"/>
      </rPr>
      <t>Remarks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</si>
  <si>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</si>
  <si>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>Nos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</si>
  <si>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Stainless Steel</t>
    </r>
  </si>
  <si>
    <r>
      <rPr>
        <b/>
        <sz val="7"/>
        <rFont val="Century Gothic"/>
        <family val="2"/>
      </rPr>
      <t>UWL3</t>
    </r>
  </si>
  <si>
    <r>
      <rPr>
        <b/>
        <sz val="7"/>
        <rFont val="Century Gothic"/>
        <family val="2"/>
      </rPr>
      <t>Black Finish Required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</si>
  <si>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TrimØ=81mm, Cut OutØ=79mm &amp; Ht=100mm.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</si>
  <si>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6W LED, 10°, 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</si>
  <si>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576lm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</si>
  <si>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6W</t>
    </r>
  </si>
  <si>
    <t>Total</t>
  </si>
  <si>
    <t>Nos</t>
  </si>
  <si>
    <t>IP65</t>
  </si>
  <si>
    <t>GERD8901W-T</t>
  </si>
  <si>
    <t>IP20</t>
  </si>
  <si>
    <t>GERD9898W-T</t>
  </si>
  <si>
    <t>GERD9869W-T</t>
  </si>
  <si>
    <t>GERD8849W-T</t>
  </si>
  <si>
    <t>GERD8127WA-T</t>
  </si>
  <si>
    <t>Ceiling Recessed LED Down Light</t>
  </si>
  <si>
    <t>Ceiling Reccesed LED Twin Down Light.
(Black Trim Required)</t>
  </si>
  <si>
    <t>GERD8202WB-T</t>
  </si>
  <si>
    <t>Ceiling Recessed LED Light, Fixed.</t>
  </si>
  <si>
    <t>SDN2</t>
  </si>
  <si>
    <t>GERD8604W-T</t>
  </si>
  <si>
    <t>Spike Mounted LED Projector Light.</t>
  </si>
  <si>
    <t>SPK1</t>
  </si>
  <si>
    <t>GERS6922H-T</t>
  </si>
  <si>
    <t>Underwater LED Up Lighter.</t>
  </si>
  <si>
    <t>GST 18%</t>
  </si>
  <si>
    <t>Grand Total</t>
  </si>
  <si>
    <t>DATE: 24 OCT 2024</t>
  </si>
  <si>
    <t>nos</t>
  </si>
  <si>
    <t>SPK2</t>
  </si>
  <si>
    <t>GERD8127WA-T (CUSTOMISED TO BLACK TRIM)</t>
  </si>
  <si>
    <t>BEST PRICE</t>
  </si>
  <si>
    <r>
      <t xml:space="preserve">Remarks/ </t>
    </r>
    <r>
      <rPr>
        <b/>
        <sz val="8"/>
        <color rgb="FF0066CC"/>
        <rFont val="Century Gothic"/>
        <family val="2"/>
      </rPr>
      <t>L@W Comments</t>
    </r>
  </si>
  <si>
    <t>GSTDA1800W-AMH30</t>
  </si>
  <si>
    <t>GSTDA1800W-AWH30</t>
  </si>
  <si>
    <t xml:space="preserve">FL-24G </t>
  </si>
  <si>
    <t>PUK Lighting</t>
  </si>
  <si>
    <t>GERS7306H-T +GRB898N</t>
  </si>
  <si>
    <t xml:space="preserve">Underwater LED Up Lighter.					</t>
  </si>
  <si>
    <t>Housing: Stainless Steel</t>
  </si>
  <si>
    <t>Dimension: TrimØ=81mm, Cut OutØ=79mm &amp; Ht=100mm.</t>
  </si>
  <si>
    <t>Lamp: 6W LED, 10°,  3000K, CRI=80+</t>
  </si>
  <si>
    <t>Lumen Output : 576lm</t>
  </si>
  <si>
    <t>Control Gear: Remote LED Driver. Dali Dimmable.</t>
  </si>
  <si>
    <t>Power Consumption: 6W</t>
  </si>
  <si>
    <t>IP68</t>
  </si>
  <si>
    <t xml:space="preserve">PUK Lighting		</t>
  </si>
  <si>
    <t xml:space="preserve">UWL3	</t>
  </si>
  <si>
    <t>Same brand quoted which is proposed by consultant</t>
  </si>
  <si>
    <t>Total Quantity Ordered</t>
  </si>
  <si>
    <t>Received Quantity</t>
  </si>
  <si>
    <t>Extra Quantity Received</t>
  </si>
  <si>
    <t>Sr. No.</t>
  </si>
  <si>
    <t>15+16</t>
  </si>
  <si>
    <t>11+11</t>
  </si>
  <si>
    <t>GERD8918WA-T</t>
  </si>
  <si>
    <t>GERD8918W-T (GERD8849W-T) Mini50, 10.2W/14.2W, 26D, 3k (With Driver 5920005 = 64) (With Female Connector SWI0335140O = 64)</t>
  </si>
  <si>
    <t>2+3</t>
  </si>
  <si>
    <t>5+4</t>
  </si>
  <si>
    <t>ENDO ALTERNATES</t>
  </si>
  <si>
    <t>Sr No</t>
  </si>
  <si>
    <t>Specification Description</t>
  </si>
  <si>
    <t>Symbol</t>
  </si>
  <si>
    <t>Manufacturer</t>
  </si>
  <si>
    <t>Ceiling Recessed LED Down Light (IP Rated)</t>
  </si>
  <si>
    <t>ENDO LIGHTING</t>
  </si>
  <si>
    <r>
      <rPr>
        <b/>
        <sz val="12"/>
        <rFont val="Century Gothic"/>
        <family val="2"/>
      </rPr>
      <t xml:space="preserve">Housing: </t>
    </r>
    <r>
      <rPr>
        <sz val="12"/>
        <rFont val="Century Gothic"/>
        <family val="2"/>
      </rPr>
      <t>Die cast Aluminium</t>
    </r>
  </si>
  <si>
    <t>IPR1</t>
  </si>
  <si>
    <r>
      <rPr>
        <b/>
        <sz val="12"/>
        <rFont val="Century Gothic"/>
        <family val="2"/>
      </rPr>
      <t>Dimension:</t>
    </r>
    <r>
      <rPr>
        <sz val="12"/>
        <rFont val="Century Gothic"/>
        <family val="2"/>
      </rPr>
      <t>Trim</t>
    </r>
    <r>
      <rPr>
        <sz val="12"/>
        <rFont val="Cambria"/>
        <family val="1"/>
      </rPr>
      <t>∅</t>
    </r>
    <r>
      <rPr>
        <sz val="12"/>
        <rFont val="Century Gothic"/>
        <family val="2"/>
      </rPr>
      <t>=60mm, Ht=95mm</t>
    </r>
  </si>
  <si>
    <t>White Trim</t>
  </si>
  <si>
    <r>
      <rPr>
        <b/>
        <sz val="12"/>
        <rFont val="Century Gothic"/>
        <family val="2"/>
      </rPr>
      <t xml:space="preserve">Lamp: </t>
    </r>
    <r>
      <rPr>
        <sz val="12"/>
        <rFont val="Century Gothic"/>
        <family val="2"/>
      </rPr>
      <t>10.2W LED, 23</t>
    </r>
    <r>
      <rPr>
        <sz val="12"/>
        <rFont val="Times New Roman"/>
        <family val="1"/>
      </rPr>
      <t xml:space="preserve">° </t>
    </r>
    <r>
      <rPr>
        <sz val="12"/>
        <rFont val="Century Gothic"/>
        <family val="2"/>
      </rPr>
      <t xml:space="preserve">Fixed,3000K, </t>
    </r>
    <r>
      <rPr>
        <b/>
        <sz val="12"/>
        <rFont val="Century Gothic"/>
        <family val="2"/>
      </rPr>
      <t>CRI</t>
    </r>
    <r>
      <rPr>
        <sz val="12"/>
        <rFont val="Century Gothic"/>
        <family val="2"/>
      </rPr>
      <t>=90+(R9≥40+)</t>
    </r>
  </si>
  <si>
    <r>
      <rPr>
        <b/>
        <sz val="12"/>
        <rFont val="Century Gothic"/>
        <family val="2"/>
      </rPr>
      <t xml:space="preserve">Lumen Output : </t>
    </r>
    <r>
      <rPr>
        <sz val="12"/>
        <rFont val="Century Gothic"/>
        <family val="2"/>
      </rPr>
      <t>446lm</t>
    </r>
  </si>
  <si>
    <r>
      <rPr>
        <b/>
        <sz val="12"/>
        <rFont val="Century Gothic"/>
        <family val="2"/>
      </rPr>
      <t xml:space="preserve">Control Gear: </t>
    </r>
    <r>
      <rPr>
        <sz val="12"/>
        <rFont val="Century Gothic"/>
        <family val="2"/>
      </rPr>
      <t xml:space="preserve">Remote LED Driver. </t>
    </r>
    <r>
      <rPr>
        <b/>
        <sz val="12"/>
        <color rgb="FF0066CC"/>
        <rFont val="Century Gothic"/>
        <family val="2"/>
      </rPr>
      <t>Dali Dimmable.</t>
    </r>
  </si>
  <si>
    <r>
      <rPr>
        <b/>
        <sz val="12"/>
        <rFont val="Century Gothic"/>
        <family val="2"/>
      </rPr>
      <t xml:space="preserve">Power Consumption: </t>
    </r>
    <r>
      <rPr>
        <sz val="12"/>
        <rFont val="Century Gothic"/>
        <family val="2"/>
      </rPr>
      <t>10.2W</t>
    </r>
  </si>
  <si>
    <t>IP44</t>
  </si>
  <si>
    <t>9a</t>
  </si>
  <si>
    <t>Recessed Linear LED light in Profile System.</t>
  </si>
  <si>
    <r>
      <rPr>
        <b/>
        <sz val="12"/>
        <rFont val="Century Gothic"/>
        <family val="2"/>
      </rPr>
      <t xml:space="preserve">Housing: </t>
    </r>
    <r>
      <rPr>
        <sz val="12"/>
        <rFont val="Century Gothic"/>
        <family val="2"/>
      </rPr>
      <t>Aluminum + PC</t>
    </r>
  </si>
  <si>
    <t>M1</t>
  </si>
  <si>
    <r>
      <rPr>
        <b/>
        <sz val="12"/>
        <rFont val="Century Gothic"/>
        <family val="2"/>
      </rPr>
      <t xml:space="preserve">Dimension:  </t>
    </r>
    <r>
      <rPr>
        <sz val="12"/>
        <rFont val="Century Gothic"/>
        <family val="2"/>
      </rPr>
      <t>L=485mm W=25mm, D=46mm</t>
    </r>
  </si>
  <si>
    <r>
      <rPr>
        <b/>
        <sz val="12"/>
        <rFont val="Century Gothic"/>
        <family val="2"/>
      </rPr>
      <t xml:space="preserve">Accessory: </t>
    </r>
    <r>
      <rPr>
        <sz val="12"/>
        <rFont val="Century Gothic"/>
        <family val="2"/>
      </rPr>
      <t>Recessing Track - Profile</t>
    </r>
  </si>
  <si>
    <r>
      <rPr>
        <b/>
        <sz val="12"/>
        <rFont val="Century Gothic"/>
        <family val="2"/>
      </rPr>
      <t>Lamp: 24</t>
    </r>
    <r>
      <rPr>
        <sz val="12"/>
        <rFont val="Century Gothic"/>
        <family val="2"/>
      </rPr>
      <t xml:space="preserve">W/485mm LED, 3000K, </t>
    </r>
    <r>
      <rPr>
        <b/>
        <sz val="12"/>
        <rFont val="Century Gothic"/>
        <family val="2"/>
      </rPr>
      <t>CRI</t>
    </r>
    <r>
      <rPr>
        <sz val="12"/>
        <rFont val="Century Gothic"/>
        <family val="2"/>
      </rPr>
      <t>=90+(R9≥40+)</t>
    </r>
  </si>
  <si>
    <r>
      <rPr>
        <b/>
        <sz val="12"/>
        <rFont val="Century Gothic"/>
        <family val="2"/>
      </rPr>
      <t xml:space="preserve">Lumen Output : </t>
    </r>
    <r>
      <rPr>
        <sz val="12"/>
        <rFont val="Century Gothic"/>
        <family val="2"/>
      </rPr>
      <t>1000lm/300mm</t>
    </r>
  </si>
  <si>
    <r>
      <rPr>
        <b/>
        <sz val="12"/>
        <rFont val="Century Gothic"/>
        <family val="2"/>
      </rPr>
      <t>Power Consumption:24</t>
    </r>
    <r>
      <rPr>
        <sz val="12"/>
        <rFont val="Century Gothic"/>
        <family val="2"/>
      </rPr>
      <t>W/485mm</t>
    </r>
  </si>
  <si>
    <t>9b</t>
  </si>
  <si>
    <t>Recessed LED Twin Spot light in Profile System.</t>
  </si>
  <si>
    <r>
      <rPr>
        <b/>
        <sz val="12"/>
        <rFont val="Century Gothic"/>
        <family val="2"/>
      </rPr>
      <t xml:space="preserve">Housing: </t>
    </r>
    <r>
      <rPr>
        <sz val="12"/>
        <rFont val="Century Gothic"/>
        <family val="2"/>
      </rPr>
      <t>Aluminum</t>
    </r>
  </si>
  <si>
    <t>M2</t>
  </si>
  <si>
    <t>GERS7013BA-T(Mini 40 spot)</t>
  </si>
  <si>
    <r>
      <rPr>
        <b/>
        <sz val="12"/>
        <rFont val="Century Gothic"/>
        <family val="2"/>
      </rPr>
      <t xml:space="preserve">Dimension: </t>
    </r>
    <r>
      <rPr>
        <sz val="12"/>
        <rFont val="Century Gothic"/>
        <family val="2"/>
      </rPr>
      <t>TrimØ=45mm, L=94mm &amp; Ht=52mm</t>
    </r>
  </si>
  <si>
    <r>
      <rPr>
        <b/>
        <sz val="12"/>
        <rFont val="Century Gothic"/>
        <family val="2"/>
      </rPr>
      <t xml:space="preserve">Lamp: </t>
    </r>
    <r>
      <rPr>
        <sz val="12"/>
        <rFont val="Century Gothic"/>
        <family val="2"/>
      </rPr>
      <t xml:space="preserve">10.2W LED 33°, 3000K, </t>
    </r>
    <r>
      <rPr>
        <b/>
        <sz val="12"/>
        <rFont val="Century Gothic"/>
        <family val="2"/>
      </rPr>
      <t>CRI</t>
    </r>
    <r>
      <rPr>
        <sz val="12"/>
        <rFont val="Century Gothic"/>
        <family val="2"/>
      </rPr>
      <t>=83+(R9≥40+)</t>
    </r>
  </si>
  <si>
    <r>
      <rPr>
        <b/>
        <sz val="12"/>
        <rFont val="Century Gothic"/>
        <family val="2"/>
      </rPr>
      <t xml:space="preserve">Lumen Output : </t>
    </r>
    <r>
      <rPr>
        <sz val="12"/>
        <rFont val="Century Gothic"/>
        <family val="2"/>
      </rPr>
      <t>767lm</t>
    </r>
  </si>
  <si>
    <t>Ceiling Recessed LED Pin Spot Down Light.</t>
  </si>
  <si>
    <r>
      <rPr>
        <b/>
        <sz val="12"/>
        <color rgb="FF000000"/>
        <rFont val="Times New Roman"/>
        <family val="1"/>
      </rPr>
      <t>Housing</t>
    </r>
    <r>
      <rPr>
        <sz val="12"/>
        <color rgb="FF000000"/>
        <rFont val="Times New Roman"/>
        <family val="1"/>
      </rPr>
      <t>: Die cast aluminium</t>
    </r>
  </si>
  <si>
    <t>PNS1</t>
  </si>
  <si>
    <r>
      <rPr>
        <b/>
        <sz val="12"/>
        <color rgb="FF000000"/>
        <rFont val="Times New Roman"/>
        <family val="1"/>
      </rPr>
      <t>Dimension</t>
    </r>
    <r>
      <rPr>
        <sz val="12"/>
        <color rgb="FF000000"/>
        <rFont val="Times New Roman"/>
        <family val="1"/>
      </rPr>
      <t>: Trim∅=37mm, CutOut∅=35mm Ht=42mm.</t>
    </r>
  </si>
  <si>
    <r>
      <rPr>
        <b/>
        <sz val="12"/>
        <color rgb="FF000000"/>
        <rFont val="Times New Roman"/>
        <family val="1"/>
      </rPr>
      <t>Lamp</t>
    </r>
    <r>
      <rPr>
        <sz val="12"/>
        <color rgb="FF000000"/>
        <rFont val="Times New Roman"/>
        <family val="1"/>
      </rPr>
      <t>: 3.1W LED 29°, Focusable, 3000K, CRI=93+(R9≥40+)</t>
    </r>
  </si>
  <si>
    <r>
      <rPr>
        <b/>
        <sz val="12"/>
        <color rgb="FF000000"/>
        <rFont val="Times New Roman"/>
        <family val="1"/>
      </rPr>
      <t>Lumen Output:</t>
    </r>
    <r>
      <rPr>
        <sz val="12"/>
        <color rgb="FF000000"/>
        <rFont val="Times New Roman"/>
        <family val="1"/>
      </rPr>
      <t xml:space="preserve"> 178lm</t>
    </r>
  </si>
  <si>
    <r>
      <rPr>
        <b/>
        <sz val="12"/>
        <color rgb="FF000000"/>
        <rFont val="Times New Roman"/>
        <family val="1"/>
      </rPr>
      <t>Control Gear:</t>
    </r>
    <r>
      <rPr>
        <sz val="12"/>
        <color rgb="FF000000"/>
        <rFont val="Times New Roman"/>
        <family val="1"/>
      </rPr>
      <t xml:space="preserve"> Remote LED Driver. Dali Dimmable.</t>
    </r>
  </si>
  <si>
    <r>
      <rPr>
        <b/>
        <sz val="12"/>
        <color rgb="FF000000"/>
        <rFont val="Times New Roman"/>
        <family val="1"/>
      </rPr>
      <t>Power Cosumption:</t>
    </r>
    <r>
      <rPr>
        <sz val="12"/>
        <color rgb="FF000000"/>
        <rFont val="Times New Roman"/>
        <family val="1"/>
      </rPr>
      <t xml:space="preserve"> 3.1W</t>
    </r>
  </si>
  <si>
    <t>PNS2</t>
  </si>
  <si>
    <r>
      <rPr>
        <b/>
        <sz val="12"/>
        <color rgb="FF000000"/>
        <rFont val="Times New Roman"/>
        <family val="1"/>
      </rPr>
      <t>Dimension</t>
    </r>
    <r>
      <rPr>
        <sz val="12"/>
        <color rgb="FF000000"/>
        <rFont val="Times New Roman"/>
        <family val="1"/>
      </rPr>
      <t>: Trim∅=60mm,Cut Out∅=50mm Ht=101mm.</t>
    </r>
  </si>
  <si>
    <r>
      <rPr>
        <b/>
        <sz val="12"/>
        <color rgb="FF000000"/>
        <rFont val="Times New Roman"/>
        <family val="1"/>
      </rPr>
      <t>Lamp:</t>
    </r>
    <r>
      <rPr>
        <sz val="12"/>
        <color rgb="FF000000"/>
        <rFont val="Times New Roman"/>
        <family val="1"/>
      </rPr>
      <t xml:space="preserve"> 10.3W LED 21°, Focusable, 3000K, CRI=93+(R9≥40+)</t>
    </r>
  </si>
  <si>
    <r>
      <rPr>
        <b/>
        <sz val="12"/>
        <color rgb="FF000000"/>
        <rFont val="Times New Roman"/>
        <family val="1"/>
      </rPr>
      <t>Lumen Output:</t>
    </r>
    <r>
      <rPr>
        <sz val="12"/>
        <color rgb="FF000000"/>
        <rFont val="Times New Roman"/>
        <family val="1"/>
      </rPr>
      <t xml:space="preserve"> 446lm</t>
    </r>
  </si>
  <si>
    <r>
      <rPr>
        <b/>
        <sz val="12"/>
        <color rgb="FF000000"/>
        <rFont val="Times New Roman"/>
        <family val="1"/>
      </rPr>
      <t>Control Gear</t>
    </r>
    <r>
      <rPr>
        <sz val="12"/>
        <color rgb="FF000000"/>
        <rFont val="Times New Roman"/>
        <family val="1"/>
      </rPr>
      <t>: Remote LED Driver. Dali Dimmable.</t>
    </r>
  </si>
  <si>
    <r>
      <rPr>
        <b/>
        <sz val="12"/>
        <color rgb="FF000000"/>
        <rFont val="Times New Roman"/>
        <family val="1"/>
      </rPr>
      <t>Power Cosumption</t>
    </r>
    <r>
      <rPr>
        <sz val="12"/>
        <color rgb="FF000000"/>
        <rFont val="Times New Roman"/>
        <family val="1"/>
      </rPr>
      <t>: 10.3W</t>
    </r>
  </si>
  <si>
    <t>Ceiling Recessed LED Down Light.</t>
  </si>
  <si>
    <r>
      <rPr>
        <b/>
        <sz val="12"/>
        <rFont val="Century Gothic"/>
        <family val="2"/>
      </rPr>
      <t>Housing</t>
    </r>
    <r>
      <rPr>
        <sz val="12"/>
        <rFont val="Century Gothic"/>
        <family val="2"/>
      </rPr>
      <t>: Aluminium</t>
    </r>
  </si>
  <si>
    <t>RDN1</t>
  </si>
  <si>
    <r>
      <rPr>
        <b/>
        <sz val="12"/>
        <rFont val="Century Gothic"/>
        <family val="2"/>
      </rPr>
      <t>Dimension</t>
    </r>
    <r>
      <rPr>
        <sz val="12"/>
        <rFont val="Century Gothic"/>
        <family val="2"/>
      </rPr>
      <t>:</t>
    </r>
    <r>
      <rPr>
        <sz val="12"/>
        <rFont val="Cambria"/>
        <family val="1"/>
      </rPr>
      <t>∅</t>
    </r>
    <r>
      <rPr>
        <sz val="12"/>
        <rFont val="Century Gothic"/>
        <family val="2"/>
      </rPr>
      <t>=65mm, H=129mm.</t>
    </r>
  </si>
  <si>
    <r>
      <rPr>
        <b/>
        <sz val="12"/>
        <rFont val="Century Gothic"/>
        <family val="2"/>
      </rPr>
      <t>Lamp</t>
    </r>
    <r>
      <rPr>
        <sz val="12"/>
        <rFont val="Century Gothic"/>
        <family val="2"/>
      </rPr>
      <t xml:space="preserve">: 19.8W LED 23°, Focusable, 3000K, </t>
    </r>
    <r>
      <rPr>
        <b/>
        <sz val="12"/>
        <rFont val="Century Gothic"/>
        <family val="2"/>
      </rPr>
      <t>CRI</t>
    </r>
    <r>
      <rPr>
        <sz val="12"/>
        <rFont val="Century Gothic"/>
        <family val="2"/>
      </rPr>
      <t>=93+(R9≥40+)</t>
    </r>
  </si>
  <si>
    <r>
      <rPr>
        <b/>
        <sz val="12"/>
        <rFont val="Century Gothic"/>
        <family val="2"/>
      </rPr>
      <t>Lumen Output</t>
    </r>
    <r>
      <rPr>
        <sz val="12"/>
        <rFont val="Century Gothic"/>
        <family val="2"/>
      </rPr>
      <t>: 1243lm</t>
    </r>
  </si>
  <si>
    <r>
      <rPr>
        <b/>
        <sz val="12"/>
        <rFont val="Century Gothic"/>
        <family val="2"/>
      </rPr>
      <t>Power Cosumption</t>
    </r>
    <r>
      <rPr>
        <sz val="12"/>
        <rFont val="Century Gothic"/>
        <family val="2"/>
      </rPr>
      <t>: 19.8W</t>
    </r>
  </si>
  <si>
    <t>Ceiling Reccesed LED Down Light.</t>
  </si>
  <si>
    <r>
      <rPr>
        <b/>
        <sz val="12"/>
        <rFont val="Century Gothic"/>
        <family val="2"/>
      </rPr>
      <t xml:space="preserve">Housing: </t>
    </r>
    <r>
      <rPr>
        <sz val="12"/>
        <rFont val="Century Gothic"/>
        <family val="2"/>
      </rPr>
      <t>Aluminium</t>
    </r>
  </si>
  <si>
    <t>RDN2</t>
  </si>
  <si>
    <r>
      <rPr>
        <b/>
        <sz val="12"/>
        <rFont val="Century Gothic"/>
        <family val="2"/>
      </rPr>
      <t>Dimension:</t>
    </r>
    <r>
      <rPr>
        <sz val="12"/>
        <rFont val="Century Gothic"/>
        <family val="2"/>
      </rPr>
      <t>L=</t>
    </r>
    <r>
      <rPr>
        <sz val="12"/>
        <rFont val="Cambria"/>
        <family val="1"/>
      </rPr>
      <t>∅</t>
    </r>
    <r>
      <rPr>
        <sz val="12"/>
        <rFont val="Century Gothic"/>
        <family val="2"/>
      </rPr>
      <t>=65mm, H=129m.</t>
    </r>
  </si>
  <si>
    <r>
      <rPr>
        <b/>
        <sz val="12"/>
        <rFont val="Century Gothic"/>
        <family val="2"/>
      </rPr>
      <t>Lamp</t>
    </r>
    <r>
      <rPr>
        <sz val="12"/>
        <rFont val="Century Gothic"/>
        <family val="2"/>
      </rPr>
      <t xml:space="preserve">: 19.8W LED 33°, Focusable, 3000K, </t>
    </r>
    <r>
      <rPr>
        <b/>
        <sz val="12"/>
        <rFont val="Century Gothic"/>
        <family val="2"/>
      </rPr>
      <t>CRI</t>
    </r>
    <r>
      <rPr>
        <sz val="12"/>
        <rFont val="Century Gothic"/>
        <family val="2"/>
      </rPr>
      <t>=93+(R9≥40+)</t>
    </r>
  </si>
  <si>
    <r>
      <rPr>
        <b/>
        <sz val="12"/>
        <rFont val="Century Gothic"/>
        <family val="2"/>
      </rPr>
      <t>Lumen Output</t>
    </r>
    <r>
      <rPr>
        <sz val="12"/>
        <rFont val="Century Gothic"/>
        <family val="2"/>
      </rPr>
      <t>: 1368lm</t>
    </r>
  </si>
  <si>
    <r>
      <rPr>
        <b/>
        <sz val="12"/>
        <color rgb="FF000000"/>
        <rFont val="Times New Roman"/>
        <family val="1"/>
      </rPr>
      <t>Housing:</t>
    </r>
    <r>
      <rPr>
        <sz val="12"/>
        <color rgb="FF000000"/>
        <rFont val="Times New Roman"/>
        <family val="1"/>
      </rPr>
      <t xml:space="preserve">  Die cast aluminium </t>
    </r>
    <r>
      <rPr>
        <sz val="12"/>
        <color rgb="FFFF0000"/>
        <rFont val="Times New Roman"/>
        <family val="1"/>
      </rPr>
      <t>( Cust to Black Trim )</t>
    </r>
  </si>
  <si>
    <t>RDN3</t>
  </si>
  <si>
    <r>
      <rPr>
        <b/>
        <sz val="12"/>
        <color rgb="FF000000"/>
        <rFont val="Times New Roman"/>
        <family val="1"/>
      </rPr>
      <t>Dimension:</t>
    </r>
    <r>
      <rPr>
        <sz val="12"/>
        <color rgb="FF000000"/>
        <rFont val="Times New Roman"/>
        <family val="1"/>
      </rPr>
      <t xml:space="preserve"> o 122 X65mm &amp; H=115mm</t>
    </r>
  </si>
  <si>
    <r>
      <rPr>
        <b/>
        <sz val="12"/>
        <color rgb="FF000000"/>
        <rFont val="Times New Roman"/>
        <family val="1"/>
      </rPr>
      <t>Lamp</t>
    </r>
    <r>
      <rPr>
        <sz val="12"/>
        <color rgb="FF000000"/>
        <rFont val="Times New Roman"/>
        <family val="1"/>
      </rPr>
      <t>:14.2W LED, 26°, Focusable, 3000K, CRI=93+(R9≥40+)</t>
    </r>
  </si>
  <si>
    <r>
      <rPr>
        <b/>
        <sz val="12"/>
        <color rgb="FF000000"/>
        <rFont val="Times New Roman"/>
        <family val="1"/>
      </rPr>
      <t>Lumen Output</t>
    </r>
    <r>
      <rPr>
        <sz val="12"/>
        <color rgb="FF000000"/>
        <rFont val="Times New Roman"/>
        <family val="1"/>
      </rPr>
      <t xml:space="preserve"> : 1254lm</t>
    </r>
  </si>
  <si>
    <r>
      <rPr>
        <b/>
        <sz val="12"/>
        <color rgb="FF000000"/>
        <rFont val="Times New Roman"/>
        <family val="1"/>
      </rPr>
      <t>Power Consumption</t>
    </r>
    <r>
      <rPr>
        <sz val="12"/>
        <color rgb="FF000000"/>
        <rFont val="Times New Roman"/>
        <family val="1"/>
      </rPr>
      <t>: 14.2W/Unit</t>
    </r>
  </si>
  <si>
    <r>
      <rPr>
        <b/>
        <sz val="12"/>
        <color rgb="FF000000"/>
        <rFont val="Times New Roman"/>
        <family val="1"/>
      </rPr>
      <t>Housing:</t>
    </r>
    <r>
      <rPr>
        <sz val="12"/>
        <color rgb="FF000000"/>
        <rFont val="Times New Roman"/>
        <family val="1"/>
      </rPr>
      <t xml:space="preserve">  Die cast aluminium</t>
    </r>
    <r>
      <rPr>
        <sz val="12"/>
        <color rgb="FFFF0000"/>
        <rFont val="Times New Roman"/>
        <family val="1"/>
      </rPr>
      <t xml:space="preserve"> ( Cust to Black Trim )</t>
    </r>
  </si>
  <si>
    <t>RDN4b</t>
  </si>
  <si>
    <r>
      <rPr>
        <b/>
        <sz val="12"/>
        <color rgb="FF000000"/>
        <rFont val="Times New Roman"/>
        <family val="1"/>
      </rPr>
      <t>Dimension:</t>
    </r>
    <r>
      <rPr>
        <sz val="12"/>
        <color rgb="FF000000"/>
        <rFont val="Times New Roman"/>
        <family val="1"/>
      </rPr>
      <t xml:space="preserve"> ∅=108mm, Depth=100mm.</t>
    </r>
  </si>
  <si>
    <r>
      <rPr>
        <b/>
        <sz val="12"/>
        <color rgb="FF000000"/>
        <rFont val="Times New Roman"/>
        <family val="1"/>
      </rPr>
      <t>Lamp:</t>
    </r>
    <r>
      <rPr>
        <sz val="12"/>
        <color rgb="FF000000"/>
        <rFont val="Times New Roman"/>
        <family val="1"/>
      </rPr>
      <t xml:space="preserve"> 19.8W LED,19°, Focusable ,3000K  CRI=96+(R9≥40+)</t>
    </r>
  </si>
  <si>
    <r>
      <rPr>
        <b/>
        <sz val="12"/>
        <color rgb="FF000000"/>
        <rFont val="Times New Roman"/>
        <family val="1"/>
      </rPr>
      <t>Lumen Output :</t>
    </r>
    <r>
      <rPr>
        <sz val="12"/>
        <color rgb="FF000000"/>
        <rFont val="Times New Roman"/>
        <family val="1"/>
      </rPr>
      <t xml:space="preserve"> 1377lm</t>
    </r>
  </si>
  <si>
    <r>
      <rPr>
        <b/>
        <sz val="12"/>
        <color rgb="FF000000"/>
        <rFont val="Times New Roman"/>
        <family val="1"/>
      </rPr>
      <t>Control Gear:</t>
    </r>
    <r>
      <rPr>
        <sz val="12"/>
        <color rgb="FF000000"/>
        <rFont val="Times New Roman"/>
        <family val="1"/>
      </rPr>
      <t xml:space="preserve"> Remote LED Driver.</t>
    </r>
    <r>
      <rPr>
        <sz val="12"/>
        <color theme="4"/>
        <rFont val="Times New Roman"/>
        <family val="1"/>
      </rPr>
      <t xml:space="preserve"> </t>
    </r>
    <r>
      <rPr>
        <b/>
        <sz val="12"/>
        <color rgb="FF0070C0"/>
        <rFont val="Times New Roman"/>
        <family val="1"/>
      </rPr>
      <t>Dali Dimmable.</t>
    </r>
  </si>
  <si>
    <r>
      <rPr>
        <b/>
        <sz val="12"/>
        <color rgb="FF000000"/>
        <rFont val="Times New Roman"/>
        <family val="1"/>
      </rPr>
      <t>Power Consumption</t>
    </r>
    <r>
      <rPr>
        <sz val="12"/>
        <color rgb="FF000000"/>
        <rFont val="Times New Roman"/>
        <family val="1"/>
      </rPr>
      <t>: 19.8W</t>
    </r>
  </si>
  <si>
    <t>RDN4w</t>
  </si>
  <si>
    <r>
      <rPr>
        <b/>
        <sz val="12"/>
        <color rgb="FF000000"/>
        <rFont val="Times New Roman"/>
        <family val="1"/>
      </rPr>
      <t>Housing:</t>
    </r>
    <r>
      <rPr>
        <sz val="12"/>
        <color rgb="FF000000"/>
        <rFont val="Times New Roman"/>
        <family val="1"/>
      </rPr>
      <t xml:space="preserve">  Die cast aluminium</t>
    </r>
  </si>
  <si>
    <t>RDN5</t>
  </si>
  <si>
    <r>
      <rPr>
        <b/>
        <sz val="12"/>
        <color rgb="FF000000"/>
        <rFont val="Times New Roman"/>
        <family val="1"/>
      </rPr>
      <t>Dimension:</t>
    </r>
    <r>
      <rPr>
        <sz val="12"/>
        <color rgb="FF000000"/>
        <rFont val="Times New Roman"/>
        <family val="1"/>
      </rPr>
      <t xml:space="preserve"> ∅=108mm, Depth=133mm.</t>
    </r>
  </si>
  <si>
    <r>
      <rPr>
        <b/>
        <sz val="12"/>
        <color rgb="FF000000"/>
        <rFont val="Times New Roman"/>
        <family val="1"/>
      </rPr>
      <t>Lamp</t>
    </r>
    <r>
      <rPr>
        <sz val="12"/>
        <color rgb="FF000000"/>
        <rFont val="Times New Roman"/>
        <family val="1"/>
      </rPr>
      <t>: 28.5W LED, 32°, Fixed Optics, 3000K CRI=83+(R9≥40+)</t>
    </r>
  </si>
  <si>
    <r>
      <rPr>
        <b/>
        <sz val="12"/>
        <color rgb="FF000000"/>
        <rFont val="Times New Roman"/>
        <family val="1"/>
      </rPr>
      <t xml:space="preserve">Lumen Output </t>
    </r>
    <r>
      <rPr>
        <sz val="12"/>
        <color rgb="FF000000"/>
        <rFont val="Times New Roman"/>
        <family val="1"/>
      </rPr>
      <t>: 1597lm</t>
    </r>
  </si>
  <si>
    <r>
      <rPr>
        <b/>
        <sz val="12"/>
        <color rgb="FF000000"/>
        <rFont val="Times New Roman"/>
        <family val="1"/>
      </rPr>
      <t>Power Consumption</t>
    </r>
    <r>
      <rPr>
        <sz val="12"/>
        <color rgb="FF000000"/>
        <rFont val="Times New Roman"/>
        <family val="1"/>
      </rPr>
      <t>: 28.5W</t>
    </r>
  </si>
  <si>
    <r>
      <rPr>
        <b/>
        <sz val="12"/>
        <rFont val="Century Gothic"/>
        <family val="2"/>
      </rPr>
      <t xml:space="preserve">Housing:  </t>
    </r>
    <r>
      <rPr>
        <sz val="12"/>
        <rFont val="Century Gothic"/>
        <family val="2"/>
      </rPr>
      <t>Die cast aluminium</t>
    </r>
  </si>
  <si>
    <r>
      <rPr>
        <b/>
        <sz val="12"/>
        <rFont val="Century Gothic"/>
        <family val="2"/>
      </rPr>
      <t>Dimension</t>
    </r>
    <r>
      <rPr>
        <sz val="12"/>
        <rFont val="Century Gothic"/>
        <family val="2"/>
      </rPr>
      <t>: ∅=108mm, Cutout∅=100 &amp; Height=110mm.</t>
    </r>
  </si>
  <si>
    <r>
      <rPr>
        <b/>
        <sz val="12"/>
        <rFont val="Century Gothic"/>
        <family val="2"/>
      </rPr>
      <t>Lamp:19.3</t>
    </r>
    <r>
      <rPr>
        <sz val="12"/>
        <rFont val="Century Gothic"/>
        <family val="2"/>
      </rPr>
      <t>W LED, 31° Fixed, 3000K, CRI=85(R9≥40+)</t>
    </r>
  </si>
  <si>
    <r>
      <rPr>
        <b/>
        <sz val="12"/>
        <rFont val="Century Gothic"/>
        <family val="2"/>
      </rPr>
      <t xml:space="preserve">Lumen Output : </t>
    </r>
    <r>
      <rPr>
        <sz val="12"/>
        <rFont val="Century Gothic"/>
        <family val="2"/>
      </rPr>
      <t>2014lm</t>
    </r>
  </si>
  <si>
    <r>
      <rPr>
        <b/>
        <sz val="12"/>
        <rFont val="Century Gothic"/>
        <family val="2"/>
      </rPr>
      <t xml:space="preserve">Power Consumption: </t>
    </r>
    <r>
      <rPr>
        <sz val="12"/>
        <rFont val="Century Gothic"/>
        <family val="2"/>
      </rPr>
      <t>19.3W</t>
    </r>
  </si>
  <si>
    <t>IP44 Required</t>
  </si>
  <si>
    <r>
      <rPr>
        <b/>
        <sz val="12"/>
        <rFont val="Century Gothic"/>
        <family val="2"/>
      </rPr>
      <t xml:space="preserve">Housing:  </t>
    </r>
    <r>
      <rPr>
        <sz val="12"/>
        <rFont val="Century Gothic"/>
        <family val="2"/>
      </rPr>
      <t xml:space="preserve">Alluminium </t>
    </r>
  </si>
  <si>
    <r>
      <rPr>
        <b/>
        <sz val="12"/>
        <rFont val="Century Gothic"/>
        <family val="2"/>
      </rPr>
      <t>Dimension</t>
    </r>
    <r>
      <rPr>
        <sz val="12"/>
        <rFont val="Century Gothic"/>
        <family val="2"/>
      </rPr>
      <t>: ∅=61mm, Ht=141mm</t>
    </r>
  </si>
  <si>
    <r>
      <rPr>
        <b/>
        <sz val="12"/>
        <rFont val="Century Gothic"/>
        <family val="2"/>
      </rPr>
      <t>Lamp:</t>
    </r>
    <r>
      <rPr>
        <sz val="12"/>
        <rFont val="Century Gothic"/>
        <family val="2"/>
      </rPr>
      <t>10W LED,23º, 3000K  CRI=80+</t>
    </r>
  </si>
  <si>
    <r>
      <rPr>
        <b/>
        <sz val="12"/>
        <rFont val="Century Gothic"/>
        <family val="2"/>
      </rPr>
      <t xml:space="preserve">Lumen Output : </t>
    </r>
    <r>
      <rPr>
        <sz val="12"/>
        <rFont val="Century Gothic"/>
        <family val="2"/>
      </rPr>
      <t>758lm</t>
    </r>
  </si>
  <si>
    <r>
      <rPr>
        <b/>
        <sz val="12"/>
        <rFont val="Century Gothic"/>
        <family val="2"/>
      </rPr>
      <t xml:space="preserve">Control Gear: </t>
    </r>
    <r>
      <rPr>
        <sz val="12"/>
        <rFont val="Century Gothic"/>
        <family val="2"/>
      </rPr>
      <t xml:space="preserve">Remote LED Driver. </t>
    </r>
    <r>
      <rPr>
        <b/>
        <sz val="12"/>
        <color rgb="FF0066CC"/>
        <rFont val="Century Gothic"/>
        <family val="2"/>
      </rPr>
      <t>Non-Dimmable.</t>
    </r>
  </si>
  <si>
    <r>
      <rPr>
        <b/>
        <sz val="12"/>
        <rFont val="Century Gothic"/>
        <family val="2"/>
      </rPr>
      <t xml:space="preserve">Power Consumption: </t>
    </r>
    <r>
      <rPr>
        <sz val="12"/>
        <rFont val="Century Gothic"/>
        <family val="2"/>
      </rPr>
      <t>10.1W</t>
    </r>
  </si>
  <si>
    <r>
      <rPr>
        <b/>
        <sz val="12"/>
        <rFont val="Century Gothic"/>
        <family val="2"/>
      </rPr>
      <t>Dimension</t>
    </r>
    <r>
      <rPr>
        <sz val="12"/>
        <rFont val="Century Gothic"/>
        <family val="2"/>
      </rPr>
      <t>: ∅=35mm, Ht=63mm</t>
    </r>
  </si>
  <si>
    <r>
      <rPr>
        <b/>
        <sz val="12"/>
        <rFont val="Century Gothic"/>
        <family val="2"/>
      </rPr>
      <t>Lamp:3</t>
    </r>
    <r>
      <rPr>
        <sz val="12"/>
        <rFont val="Century Gothic"/>
        <family val="2"/>
      </rPr>
      <t>W LED,45º, 3000K  CRI=80+</t>
    </r>
  </si>
  <si>
    <r>
      <rPr>
        <b/>
        <sz val="12"/>
        <rFont val="Century Gothic"/>
        <family val="2"/>
      </rPr>
      <t>Lumen Output : 230</t>
    </r>
    <r>
      <rPr>
        <sz val="12"/>
        <rFont val="Century Gothic"/>
        <family val="2"/>
      </rPr>
      <t>lm</t>
    </r>
  </si>
  <si>
    <t>?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</si>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</sst>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28" x14ac:knownFonts="1">
    <font>
      <sz val="10"/>
      <color rgb="FF000000"/>
      <name val="Times New Roman"/>
      <charset val="204"/>
    </font>
    <font>
      <b/>
      <sz val="7"/>
      <name val="Century Gothic"/>
      <family val="2"/>
    </font>
    <font>
      <b/>
      <sz val="7"/>
      <color rgb="FF000000"/>
      <name val="Century Gothic"/>
      <family val="2"/>
    </font>
    <font>
      <sz val="7"/>
      <name val="Century Gothic"/>
      <family val="2"/>
    </font>
    <font>
      <sz val="7"/>
      <color rgb="FF000000"/>
      <name val="Century Gothic"/>
      <family val="2"/>
    </font>
    <font>
      <b/>
      <sz val="7"/>
      <color rgb="FF0066CC"/>
      <name val="Century Gothic"/>
      <family val="2"/>
    </font>
    <font>
      <sz val="10"/>
      <color rgb="FF000000"/>
      <name val="Times New Roman"/>
      <family val="1"/>
    </font>
    <font>
      <sz val="7"/>
      <color rgb="FF000000"/>
      <name val="Times New Roman"/>
      <family val="1"/>
    </font>
    <font>
      <b/>
      <sz val="7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name val="Century Gothic"/>
      <family val="2"/>
    </font>
    <font>
      <b/>
      <sz val="8"/>
      <color rgb="FF0066CC"/>
      <name val="Century Gothic"/>
      <family val="2"/>
    </font>
    <font>
      <sz val="8"/>
      <color rgb="FF000000"/>
      <name val="Times New Roman"/>
      <family val="1"/>
    </font>
    <font>
      <b/>
      <sz val="12"/>
      <name val="Century Gothic"/>
      <family val="2"/>
    </font>
    <font>
      <sz val="12"/>
      <color rgb="FF000000"/>
      <name val="Times New Roman"/>
      <family val="1"/>
    </font>
    <font>
      <b/>
      <sz val="12"/>
      <color rgb="FF000000"/>
      <name val="Century Gothic"/>
      <family val="2"/>
    </font>
    <font>
      <sz val="12"/>
      <name val="Century Gothic"/>
      <family val="2"/>
    </font>
    <font>
      <sz val="12"/>
      <name val="Cambria"/>
      <family val="1"/>
    </font>
    <font>
      <sz val="12"/>
      <name val="Times New Roman"/>
      <family val="1"/>
    </font>
    <font>
      <b/>
      <sz val="12"/>
      <color rgb="FF0066CC"/>
      <name val="Century Gothic"/>
      <family val="2"/>
    </font>
    <font>
      <sz val="12"/>
      <color rgb="FF000000"/>
      <name val="Century Gothic"/>
      <family val="2"/>
    </font>
    <font>
      <b/>
      <sz val="12"/>
      <color rgb="FF000000"/>
      <name val="Times New Roman"/>
      <family val="1"/>
    </font>
    <font>
      <sz val="12"/>
      <name val="Times New Roman"/>
      <family val="2"/>
      <charset val="204"/>
    </font>
    <font>
      <sz val="12"/>
      <color rgb="FFFF0000"/>
      <name val="Times New Roman"/>
      <family val="1"/>
    </font>
    <font>
      <sz val="12"/>
      <color theme="4"/>
      <name val="Times New Roman"/>
      <family val="1"/>
    </font>
    <font>
      <b/>
      <sz val="12"/>
      <color rgb="FF0070C0"/>
      <name val="Times New Roman"/>
      <family val="1"/>
    </font>
    <font>
      <b/>
      <sz val="2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76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 indent="9"/>
    </xf>
    <xf numFmtId="0" fontId="0" fillId="0" borderId="0" xfId="0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10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5" fontId="0" fillId="0" borderId="15" xfId="1" applyNumberFormat="1" applyFont="1" applyBorder="1" applyAlignment="1">
      <alignment horizontal="right" vertical="center"/>
    </xf>
    <xf numFmtId="165" fontId="0" fillId="0" borderId="15" xfId="0" applyNumberFormat="1" applyBorder="1" applyAlignment="1">
      <alignment horizontal="right" vertical="center"/>
    </xf>
    <xf numFmtId="0" fontId="6" fillId="0" borderId="15" xfId="0" applyFont="1" applyBorder="1" applyAlignment="1">
      <alignment horizontal="right"/>
    </xf>
    <xf numFmtId="1" fontId="2" fillId="3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2" fontId="2" fillId="3" borderId="8" xfId="0" applyNumberFormat="1" applyFont="1" applyFill="1" applyBorder="1" applyAlignment="1">
      <alignment horizontal="center" vertical="top" shrinkToFit="1"/>
    </xf>
    <xf numFmtId="0" fontId="0" fillId="4" borderId="8" xfId="0" applyFill="1" applyBorder="1" applyAlignment="1">
      <alignment horizontal="left" wrapText="1"/>
    </xf>
    <xf numFmtId="0" fontId="0" fillId="4" borderId="0" xfId="0" applyFill="1" applyAlignment="1">
      <alignment horizontal="left" vertical="top"/>
    </xf>
    <xf numFmtId="1" fontId="2" fillId="4" borderId="1" xfId="0" applyNumberFormat="1" applyFont="1" applyFill="1" applyBorder="1" applyAlignment="1">
      <alignment horizontal="center" vertical="top" shrinkToFit="1"/>
    </xf>
    <xf numFmtId="0" fontId="8" fillId="4" borderId="1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wrapText="1"/>
    </xf>
    <xf numFmtId="0" fontId="1" fillId="4" borderId="8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 wrapText="1"/>
    </xf>
    <xf numFmtId="0" fontId="3" fillId="4" borderId="1" xfId="0" applyFont="1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2" fontId="2" fillId="4" borderId="9" xfId="0" applyNumberFormat="1" applyFont="1" applyFill="1" applyBorder="1" applyAlignment="1">
      <alignment horizontal="center" vertical="top" shrinkToFit="1"/>
    </xf>
    <xf numFmtId="0" fontId="4" fillId="4" borderId="1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center" wrapText="1"/>
    </xf>
    <xf numFmtId="0" fontId="0" fillId="4" borderId="15" xfId="0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top" wrapText="1"/>
    </xf>
    <xf numFmtId="0" fontId="0" fillId="4" borderId="16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left" wrapText="1"/>
    </xf>
    <xf numFmtId="0" fontId="0" fillId="4" borderId="10" xfId="0" applyFill="1" applyBorder="1" applyAlignment="1">
      <alignment horizontal="left" wrapText="1"/>
    </xf>
    <xf numFmtId="0" fontId="1" fillId="4" borderId="8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 wrapText="1"/>
    </xf>
    <xf numFmtId="0" fontId="1" fillId="4" borderId="10" xfId="0" applyFont="1" applyFill="1" applyBorder="1" applyAlignment="1">
      <alignment horizontal="left" vertical="top" wrapText="1"/>
    </xf>
    <xf numFmtId="0" fontId="0" fillId="4" borderId="9" xfId="0" applyFill="1" applyBorder="1" applyAlignment="1">
      <alignment horizontal="left" wrapText="1"/>
    </xf>
    <xf numFmtId="0" fontId="3" fillId="4" borderId="8" xfId="0" applyFont="1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10" xfId="0" applyFont="1" applyFill="1" applyBorder="1" applyAlignment="1">
      <alignment horizontal="center" vertical="top" wrapText="1"/>
    </xf>
    <xf numFmtId="1" fontId="4" fillId="4" borderId="8" xfId="0" applyNumberFormat="1" applyFont="1" applyFill="1" applyBorder="1" applyAlignment="1">
      <alignment horizontal="center" vertical="top" shrinkToFit="1"/>
    </xf>
    <xf numFmtId="1" fontId="4" fillId="4" borderId="9" xfId="0" applyNumberFormat="1" applyFont="1" applyFill="1" applyBorder="1" applyAlignment="1">
      <alignment horizontal="center" vertical="top" shrinkToFit="1"/>
    </xf>
    <xf numFmtId="1" fontId="4" fillId="4" borderId="10" xfId="0" applyNumberFormat="1" applyFont="1" applyFill="1" applyBorder="1" applyAlignment="1">
      <alignment horizontal="center" vertical="top" shrinkToFit="1"/>
    </xf>
    <xf numFmtId="2" fontId="2" fillId="4" borderId="8" xfId="0" applyNumberFormat="1" applyFont="1" applyFill="1" applyBorder="1" applyAlignment="1">
      <alignment horizontal="center" vertical="top" shrinkToFit="1"/>
    </xf>
    <xf numFmtId="2" fontId="2" fillId="4" borderId="10" xfId="0" applyNumberFormat="1" applyFont="1" applyFill="1" applyBorder="1" applyAlignment="1">
      <alignment horizontal="center" vertical="top" shrinkToFit="1"/>
    </xf>
    <xf numFmtId="0" fontId="1" fillId="4" borderId="2" xfId="0" applyFont="1" applyFill="1" applyBorder="1" applyAlignment="1">
      <alignment horizontal="left" vertical="top" wrapText="1" indent="2"/>
    </xf>
    <xf numFmtId="0" fontId="1" fillId="4" borderId="4" xfId="0" applyFont="1" applyFill="1" applyBorder="1" applyAlignment="1">
      <alignment horizontal="left" vertical="top" wrapText="1" indent="2"/>
    </xf>
    <xf numFmtId="0" fontId="1" fillId="4" borderId="11" xfId="0" applyFont="1" applyFill="1" applyBorder="1" applyAlignment="1">
      <alignment horizontal="left" vertical="top" wrapText="1" indent="2"/>
    </xf>
    <xf numFmtId="0" fontId="1" fillId="4" borderId="14" xfId="0" applyFont="1" applyFill="1" applyBorder="1" applyAlignment="1">
      <alignment horizontal="left" vertical="top" wrapText="1" indent="2"/>
    </xf>
    <xf numFmtId="0" fontId="1" fillId="4" borderId="5" xfId="0" applyFont="1" applyFill="1" applyBorder="1" applyAlignment="1">
      <alignment horizontal="left" vertical="top" wrapText="1" indent="2"/>
    </xf>
    <xf numFmtId="0" fontId="1" fillId="4" borderId="7" xfId="0" applyFont="1" applyFill="1" applyBorder="1" applyAlignment="1">
      <alignment horizontal="left" vertical="top" wrapText="1" indent="2"/>
    </xf>
    <xf numFmtId="0" fontId="0" fillId="4" borderId="8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right" vertical="top" wrapText="1" indent="3"/>
    </xf>
    <xf numFmtId="0" fontId="1" fillId="4" borderId="9" xfId="0" applyFont="1" applyFill="1" applyBorder="1" applyAlignment="1">
      <alignment horizontal="right" vertical="top" wrapText="1" indent="3"/>
    </xf>
    <xf numFmtId="0" fontId="1" fillId="4" borderId="10" xfId="0" applyFont="1" applyFill="1" applyBorder="1" applyAlignment="1">
      <alignment horizontal="right" vertical="top" wrapText="1" indent="3"/>
    </xf>
    <xf numFmtId="0" fontId="0" fillId="0" borderId="0" xfId="0" applyAlignment="1">
      <alignment horizontal="left" wrapText="1"/>
    </xf>
    <xf numFmtId="0" fontId="1" fillId="0" borderId="8" xfId="0" applyFont="1" applyBorder="1" applyAlignment="1">
      <alignment horizontal="left" vertical="top" wrapText="1" indent="10"/>
    </xf>
    <xf numFmtId="0" fontId="1" fillId="0" borderId="9" xfId="0" applyFont="1" applyBorder="1" applyAlignment="1">
      <alignment horizontal="left" vertical="top" wrapText="1" indent="10"/>
    </xf>
    <xf numFmtId="0" fontId="1" fillId="0" borderId="10" xfId="0" applyFont="1" applyBorder="1" applyAlignment="1">
      <alignment horizontal="left" vertical="top" wrapText="1" indent="10"/>
    </xf>
    <xf numFmtId="0" fontId="1" fillId="0" borderId="8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 indent="3"/>
    </xf>
    <xf numFmtId="0" fontId="1" fillId="0" borderId="9" xfId="0" applyFont="1" applyBorder="1" applyAlignment="1">
      <alignment horizontal="left" vertical="top" wrapText="1" indent="3"/>
    </xf>
    <xf numFmtId="0" fontId="1" fillId="0" borderId="10" xfId="0" applyFont="1" applyBorder="1" applyAlignment="1">
      <alignment horizontal="left" vertical="top" wrapText="1" indent="3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 indent="2"/>
    </xf>
    <xf numFmtId="0" fontId="1" fillId="0" borderId="9" xfId="0" applyFont="1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1" fontId="0" fillId="4" borderId="15" xfId="0" applyNumberFormat="1" applyFill="1" applyBorder="1" applyAlignment="1">
      <alignment horizontal="center" vertical="center"/>
    </xf>
    <xf numFmtId="1" fontId="0" fillId="4" borderId="15" xfId="0" applyNumberFormat="1" applyFill="1" applyBorder="1" applyAlignment="1">
      <alignment horizontal="right" vertical="center"/>
    </xf>
    <xf numFmtId="0" fontId="13" fillId="4" borderId="16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wrapText="1" indent="6"/>
    </xf>
    <xf numFmtId="0" fontId="1" fillId="0" borderId="0" xfId="0" applyFont="1" applyAlignment="1">
      <alignment horizontal="left" wrapText="1" indent="11"/>
    </xf>
    <xf numFmtId="0" fontId="1" fillId="0" borderId="0" xfId="0" applyFont="1" applyAlignment="1">
      <alignment horizontal="right" wrapText="1" indent="14"/>
    </xf>
    <xf numFmtId="0" fontId="0" fillId="0" borderId="0" xfId="0" applyAlignment="1">
      <alignment horizontal="left" vertical="center" wrapText="1"/>
    </xf>
    <xf numFmtId="0" fontId="14" fillId="0" borderId="15" xfId="0" applyFont="1" applyBorder="1" applyAlignment="1">
      <alignment horizontal="center" vertical="top" wrapText="1"/>
    </xf>
    <xf numFmtId="0" fontId="14" fillId="0" borderId="15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center" vertical="top" wrapText="1"/>
    </xf>
    <xf numFmtId="0" fontId="14" fillId="0" borderId="15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left" wrapText="1"/>
    </xf>
    <xf numFmtId="0" fontId="15" fillId="0" borderId="15" xfId="0" applyFont="1" applyBorder="1" applyAlignment="1">
      <alignment horizontal="left" wrapText="1"/>
    </xf>
    <xf numFmtId="0" fontId="15" fillId="0" borderId="15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top" wrapText="1"/>
    </xf>
    <xf numFmtId="0" fontId="15" fillId="0" borderId="15" xfId="0" applyFont="1" applyBorder="1" applyAlignment="1">
      <alignment horizontal="left" vertical="top" wrapText="1"/>
    </xf>
    <xf numFmtId="0" fontId="15" fillId="3" borderId="15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top" wrapText="1"/>
    </xf>
    <xf numFmtId="2" fontId="16" fillId="3" borderId="15" xfId="0" applyNumberFormat="1" applyFont="1" applyFill="1" applyBorder="1" applyAlignment="1">
      <alignment horizontal="center" vertical="center" wrapText="1" shrinkToFit="1"/>
    </xf>
    <xf numFmtId="0" fontId="15" fillId="3" borderId="12" xfId="0" applyFont="1" applyFill="1" applyBorder="1" applyAlignment="1">
      <alignment horizontal="left" wrapText="1"/>
    </xf>
    <xf numFmtId="0" fontId="15" fillId="3" borderId="2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center" wrapText="1"/>
    </xf>
    <xf numFmtId="0" fontId="15" fillId="3" borderId="18" xfId="0" applyFont="1" applyFill="1" applyBorder="1" applyAlignment="1">
      <alignment vertical="center" wrapText="1"/>
    </xf>
    <xf numFmtId="0" fontId="15" fillId="3" borderId="18" xfId="0" applyFont="1" applyFill="1" applyBorder="1" applyAlignment="1">
      <alignment horizontal="center" vertical="center" wrapText="1"/>
    </xf>
    <xf numFmtId="1" fontId="16" fillId="0" borderId="15" xfId="0" applyNumberFormat="1" applyFont="1" applyBorder="1" applyAlignment="1">
      <alignment horizontal="center" vertical="top" wrapText="1" shrinkToFit="1"/>
    </xf>
    <xf numFmtId="0" fontId="14" fillId="3" borderId="15" xfId="0" applyFont="1" applyFill="1" applyBorder="1" applyAlignment="1">
      <alignment horizontal="center" vertical="top" wrapText="1"/>
    </xf>
    <xf numFmtId="0" fontId="17" fillId="0" borderId="15" xfId="0" applyFont="1" applyBorder="1" applyAlignment="1">
      <alignment horizontal="left" vertical="top" wrapText="1"/>
    </xf>
    <xf numFmtId="0" fontId="15" fillId="3" borderId="15" xfId="0" applyFont="1" applyFill="1" applyBorder="1" applyAlignment="1">
      <alignment horizontal="left" vertical="top" wrapText="1"/>
    </xf>
    <xf numFmtId="0" fontId="15" fillId="3" borderId="15" xfId="0" applyFont="1" applyFill="1" applyBorder="1" applyAlignment="1">
      <alignment horizontal="left" wrapText="1"/>
    </xf>
    <xf numFmtId="2" fontId="16" fillId="0" borderId="15" xfId="0" applyNumberFormat="1" applyFont="1" applyBorder="1" applyAlignment="1">
      <alignment horizontal="center" vertical="center" wrapText="1" shrinkToFit="1"/>
    </xf>
    <xf numFmtId="0" fontId="15" fillId="0" borderId="15" xfId="0" applyFont="1" applyBorder="1" applyAlignment="1">
      <alignment horizontal="center" wrapText="1"/>
    </xf>
    <xf numFmtId="0" fontId="17" fillId="0" borderId="15" xfId="0" applyFont="1" applyBorder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21" fillId="0" borderId="15" xfId="0" applyFont="1" applyBorder="1" applyAlignment="1">
      <alignment horizontal="left" vertical="top" wrapText="1"/>
    </xf>
    <xf numFmtId="0" fontId="15" fillId="0" borderId="15" xfId="0" applyFont="1" applyBorder="1" applyAlignment="1">
      <alignment horizontal="left" vertical="center" wrapText="1"/>
    </xf>
    <xf numFmtId="0" fontId="15" fillId="3" borderId="15" xfId="0" applyFont="1" applyFill="1" applyBorder="1" applyAlignment="1">
      <alignment horizontal="center" wrapText="1"/>
    </xf>
    <xf numFmtId="0" fontId="22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 vertical="top" wrapText="1"/>
    </xf>
    <xf numFmtId="0" fontId="15" fillId="2" borderId="15" xfId="0" applyFont="1" applyFill="1" applyBorder="1" applyAlignment="1">
      <alignment horizontal="left" wrapText="1"/>
    </xf>
    <xf numFmtId="0" fontId="15" fillId="2" borderId="15" xfId="0" applyFont="1" applyFill="1" applyBorder="1" applyAlignment="1">
      <alignment horizontal="left" vertical="top" wrapText="1"/>
    </xf>
    <xf numFmtId="0" fontId="15" fillId="2" borderId="15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center" vertical="top" wrapText="1"/>
    </xf>
    <xf numFmtId="2" fontId="16" fillId="2" borderId="15" xfId="0" applyNumberFormat="1" applyFont="1" applyFill="1" applyBorder="1" applyAlignment="1">
      <alignment horizontal="center" vertical="center" wrapText="1" shrinkToFit="1"/>
    </xf>
    <xf numFmtId="0" fontId="22" fillId="0" borderId="15" xfId="0" applyFont="1" applyBorder="1" applyAlignment="1">
      <alignment horizontal="left" vertical="top" wrapText="1"/>
    </xf>
    <xf numFmtId="0" fontId="22" fillId="0" borderId="15" xfId="0" applyFont="1" applyBorder="1" applyAlignment="1">
      <alignment horizontal="left" wrapText="1"/>
    </xf>
    <xf numFmtId="0" fontId="22" fillId="0" borderId="15" xfId="0" applyFont="1" applyBorder="1" applyAlignment="1">
      <alignment horizontal="center" vertical="top" wrapText="1"/>
    </xf>
    <xf numFmtId="0" fontId="15" fillId="3" borderId="15" xfId="0" applyFont="1" applyFill="1" applyBorder="1" applyAlignment="1">
      <alignment horizontal="center" vertical="top" wrapText="1"/>
    </xf>
    <xf numFmtId="0" fontId="22" fillId="2" borderId="15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left" wrapText="1"/>
    </xf>
    <xf numFmtId="0" fontId="15" fillId="5" borderId="15" xfId="0" applyFont="1" applyFill="1" applyBorder="1" applyAlignment="1">
      <alignment horizontal="left" vertical="top" wrapText="1"/>
    </xf>
    <xf numFmtId="0" fontId="14" fillId="5" borderId="15" xfId="0" applyFont="1" applyFill="1" applyBorder="1" applyAlignment="1">
      <alignment horizontal="center" vertical="top" wrapText="1"/>
    </xf>
    <xf numFmtId="0" fontId="17" fillId="5" borderId="15" xfId="0" applyFont="1" applyFill="1" applyBorder="1" applyAlignment="1">
      <alignment horizontal="center" vertical="top" wrapText="1"/>
    </xf>
    <xf numFmtId="2" fontId="16" fillId="5" borderId="15" xfId="0" applyNumberFormat="1" applyFont="1" applyFill="1" applyBorder="1" applyAlignment="1">
      <alignment horizontal="center" vertical="center" wrapText="1" shrinkToFit="1"/>
    </xf>
    <xf numFmtId="0" fontId="15" fillId="5" borderId="15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left" vertical="top" wrapText="1"/>
    </xf>
    <xf numFmtId="0" fontId="15" fillId="5" borderId="15" xfId="0" applyFont="1" applyFill="1" applyBorder="1" applyAlignment="1">
      <alignment horizontal="left" vertical="center" wrapText="1"/>
    </xf>
    <xf numFmtId="0" fontId="15" fillId="5" borderId="15" xfId="0" applyFont="1" applyFill="1" applyBorder="1" applyAlignment="1">
      <alignment horizontal="center" vertical="top" wrapText="1"/>
    </xf>
    <xf numFmtId="0" fontId="14" fillId="5" borderId="15" xfId="0" applyFont="1" applyFill="1" applyBorder="1" applyAlignment="1">
      <alignment horizontal="left" vertical="top" wrapText="1"/>
    </xf>
    <xf numFmtId="1" fontId="16" fillId="5" borderId="15" xfId="0" applyNumberFormat="1" applyFont="1" applyFill="1" applyBorder="1" applyAlignment="1">
      <alignment horizontal="center" vertical="top" wrapText="1" shrinkToFit="1"/>
    </xf>
    <xf numFmtId="0" fontId="22" fillId="5" borderId="15" xfId="0" applyFont="1" applyFill="1" applyBorder="1" applyAlignment="1">
      <alignment horizontal="left" vertical="center" wrapText="1"/>
    </xf>
    <xf numFmtId="0" fontId="22" fillId="0" borderId="15" xfId="0" applyFont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5" borderId="15" xfId="0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1472448" y="21798866"/>
    <xdr:ext cx="997113" cy="320039"/>
    <xdr:pic>
      <xdr:nvPicPr>
        <xdr:cNvPr id="43" name="image23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2448" y="21798866"/>
          <a:ext cx="997113" cy="320039"/>
        </a:xfrm>
        <a:prstGeom prst="rect">
          <a:avLst/>
        </a:prstGeom>
      </xdr:spPr>
    </xdr:pic>
    <xdr:clientData/>
  </xdr:absoluteAnchor>
  <xdr:absoluteAnchor>
    <xdr:pos x="11601109" y="22992617"/>
    <xdr:ext cx="679703" cy="484632"/>
    <xdr:pic>
      <xdr:nvPicPr>
        <xdr:cNvPr id="44" name="image21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1109" y="22992617"/>
          <a:ext cx="679703" cy="484632"/>
        </a:xfrm>
        <a:prstGeom prst="rect">
          <a:avLst/>
        </a:prstGeom>
      </xdr:spPr>
    </xdr:pic>
    <xdr:clientData/>
  </xdr:absoluteAnchor>
  <xdr:absoluteAnchor>
    <xdr:pos x="11593000" y="24071775"/>
    <xdr:ext cx="679703" cy="484632"/>
    <xdr:pic>
      <xdr:nvPicPr>
        <xdr:cNvPr id="45" name="image21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3000" y="24071775"/>
          <a:ext cx="679703" cy="484632"/>
        </a:xfrm>
        <a:prstGeom prst="rect">
          <a:avLst/>
        </a:prstGeom>
      </xdr:spPr>
    </xdr:pic>
    <xdr:clientData/>
  </xdr:absoluteAnchor>
  <xdr:absoluteAnchor>
    <xdr:pos x="11645021" y="25257223"/>
    <xdr:ext cx="588264" cy="550163"/>
    <xdr:pic>
      <xdr:nvPicPr>
        <xdr:cNvPr id="46" name="image20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5021" y="25257223"/>
          <a:ext cx="588264" cy="550163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205739</xdr:colOff>
      <xdr:row>7</xdr:row>
      <xdr:rowOff>172212</xdr:rowOff>
    </xdr:from>
    <xdr:ext cx="595883" cy="518160"/>
    <xdr:pic>
      <xdr:nvPicPr>
        <xdr:cNvPr id="37" name="image30.jpe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789" y="31766637"/>
          <a:ext cx="595883" cy="518160"/>
        </a:xfrm>
        <a:prstGeom prst="rect">
          <a:avLst/>
        </a:prstGeom>
      </xdr:spPr>
    </xdr:pic>
    <xdr:clientData/>
  </xdr:oneCellAnchor>
  <xdr:absoluteAnchor>
    <xdr:pos x="4747923" y="35488507"/>
    <xdr:ext cx="765177" cy="266789"/>
    <xdr:pic>
      <xdr:nvPicPr>
        <xdr:cNvPr id="43" name="image34.jpe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923" y="35488507"/>
          <a:ext cx="765177" cy="266789"/>
        </a:xfrm>
        <a:prstGeom prst="rect">
          <a:avLst/>
        </a:prstGeom>
      </xdr:spPr>
    </xdr:pic>
    <xdr:clientData/>
  </xdr:absoluteAnchor>
  <xdr:oneCellAnchor>
    <xdr:from>
      <xdr:col>21</xdr:col>
      <xdr:colOff>477520</xdr:colOff>
      <xdr:row>7</xdr:row>
      <xdr:rowOff>91440</xdr:rowOff>
    </xdr:from>
    <xdr:ext cx="595883" cy="518160"/>
    <xdr:pic>
      <xdr:nvPicPr>
        <xdr:cNvPr id="52" name="image30.jpe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4320" y="30957520"/>
          <a:ext cx="595883" cy="5181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5E9D-78AC-B741-8AE1-A28742A98F9C}">
  <sheetPr>
    <pageSetUpPr fitToPage="1"/>
  </sheetPr>
  <dimension ref="A1:H124"/>
  <sheetViews>
    <sheetView tabSelected="1" topLeftCell="A16" zoomScale="110" zoomScaleNormal="110" workbookViewId="0">
      <selection activeCell="G67" sqref="G67"/>
    </sheetView>
  </sheetViews>
  <sheetFormatPr defaultColWidth="9" defaultRowHeight="15.5" x14ac:dyDescent="0.3"/>
  <cols>
    <col min="1" max="1" width="10.5" style="117" customWidth="1"/>
    <col min="2" max="2" width="52.3984375" style="117" customWidth="1"/>
    <col min="3" max="3" width="14" style="117" customWidth="1"/>
    <col min="4" max="4" width="25.19921875" style="117" customWidth="1"/>
    <col min="5" max="5" width="17" style="116" customWidth="1"/>
    <col min="6" max="6" width="15.296875" style="172" customWidth="1"/>
    <col min="7" max="7" width="21.5" style="116" customWidth="1"/>
    <col min="8" max="8" width="11.5" style="113" customWidth="1"/>
    <col min="9" max="16384" width="9" style="117"/>
  </cols>
  <sheetData>
    <row r="1" spans="1:8" ht="17.5" customHeight="1" x14ac:dyDescent="0.3">
      <c r="A1" s="104" t="s">
        <v>73</v>
      </c>
      <c r="B1" s="104"/>
      <c r="C1" s="104"/>
      <c r="D1" s="104"/>
      <c r="E1" s="104"/>
    </row>
    <row r="2" spans="1:8" s="116" customFormat="1" ht="45" x14ac:dyDescent="0.3">
      <c r="A2" s="107" t="s">
        <v>74</v>
      </c>
      <c r="B2" s="107" t="s">
        <v>75</v>
      </c>
      <c r="C2" s="107" t="s">
        <v>76</v>
      </c>
      <c r="D2" s="107" t="s">
        <v>77</v>
      </c>
      <c r="E2" s="107" t="s">
        <v>63</v>
      </c>
      <c r="F2" s="107" t="s">
        <v>64</v>
      </c>
      <c r="G2" s="152" t="s">
        <v>65</v>
      </c>
      <c r="H2" s="107" t="s">
        <v>66</v>
      </c>
    </row>
    <row r="3" spans="1:8" ht="10" customHeight="1" x14ac:dyDescent="0.35">
      <c r="A3" s="108"/>
      <c r="B3" s="108"/>
      <c r="C3" s="108"/>
      <c r="D3" s="121"/>
      <c r="E3" s="122"/>
      <c r="F3" s="173"/>
      <c r="G3" s="153"/>
      <c r="H3" s="114"/>
    </row>
    <row r="4" spans="1:8" x14ac:dyDescent="0.35">
      <c r="A4" s="128">
        <v>7</v>
      </c>
      <c r="B4" s="105" t="s">
        <v>78</v>
      </c>
      <c r="C4" s="109"/>
      <c r="D4" s="129" t="s">
        <v>79</v>
      </c>
      <c r="E4" s="114"/>
      <c r="F4" s="170"/>
      <c r="G4" s="111"/>
      <c r="H4" s="115"/>
    </row>
    <row r="5" spans="1:8" s="164" customFormat="1" ht="16" x14ac:dyDescent="0.35">
      <c r="A5" s="156"/>
      <c r="B5" s="157" t="s">
        <v>80</v>
      </c>
      <c r="C5" s="158" t="s">
        <v>81</v>
      </c>
      <c r="D5" s="159" t="s">
        <v>23</v>
      </c>
      <c r="E5" s="160">
        <v>33</v>
      </c>
      <c r="F5" s="174">
        <v>33</v>
      </c>
      <c r="G5" s="162"/>
      <c r="H5" s="163">
        <v>1</v>
      </c>
    </row>
    <row r="6" spans="1:8" ht="16" x14ac:dyDescent="0.35">
      <c r="A6" s="109"/>
      <c r="B6" s="113" t="s">
        <v>82</v>
      </c>
      <c r="C6" s="130" t="s">
        <v>83</v>
      </c>
      <c r="D6" s="131"/>
      <c r="E6" s="115" t="s">
        <v>21</v>
      </c>
      <c r="F6" s="170"/>
      <c r="G6" s="111"/>
    </row>
    <row r="7" spans="1:8" ht="32" x14ac:dyDescent="0.35">
      <c r="A7" s="109"/>
      <c r="B7" s="113" t="s">
        <v>84</v>
      </c>
      <c r="C7" s="130"/>
      <c r="D7" s="131"/>
      <c r="E7" s="114"/>
      <c r="F7" s="170"/>
      <c r="G7" s="111"/>
    </row>
    <row r="8" spans="1:8" ht="16" x14ac:dyDescent="0.35">
      <c r="A8" s="109"/>
      <c r="B8" s="113" t="s">
        <v>85</v>
      </c>
      <c r="C8" s="109"/>
      <c r="D8" s="131"/>
      <c r="E8" s="114"/>
      <c r="F8" s="170"/>
      <c r="G8" s="111"/>
    </row>
    <row r="9" spans="1:8" ht="31" x14ac:dyDescent="0.35">
      <c r="A9" s="109"/>
      <c r="B9" s="113" t="s">
        <v>86</v>
      </c>
      <c r="C9" s="109"/>
      <c r="D9" s="131"/>
      <c r="E9" s="114"/>
      <c r="F9" s="170"/>
      <c r="G9" s="111"/>
    </row>
    <row r="10" spans="1:8" ht="16" x14ac:dyDescent="0.35">
      <c r="A10" s="109"/>
      <c r="B10" s="113" t="s">
        <v>87</v>
      </c>
      <c r="C10" s="109"/>
      <c r="D10" s="131"/>
      <c r="E10" s="114"/>
      <c r="F10" s="170"/>
      <c r="G10" s="111"/>
    </row>
    <row r="11" spans="1:8" x14ac:dyDescent="0.35">
      <c r="A11" s="109"/>
      <c r="B11" s="105" t="s">
        <v>88</v>
      </c>
      <c r="C11" s="109"/>
      <c r="D11" s="131"/>
      <c r="E11" s="114"/>
      <c r="F11" s="170"/>
      <c r="G11" s="111"/>
    </row>
    <row r="12" spans="1:8" ht="10" customHeight="1" x14ac:dyDescent="0.35">
      <c r="A12" s="109"/>
      <c r="B12" s="109"/>
      <c r="C12" s="109"/>
      <c r="D12" s="132"/>
      <c r="E12" s="114"/>
      <c r="F12" s="170"/>
      <c r="G12" s="111"/>
    </row>
    <row r="13" spans="1:8" x14ac:dyDescent="0.35">
      <c r="A13" s="106" t="s">
        <v>89</v>
      </c>
      <c r="B13" s="105" t="s">
        <v>90</v>
      </c>
      <c r="C13" s="109"/>
      <c r="D13" s="106" t="s">
        <v>79</v>
      </c>
      <c r="E13" s="110"/>
      <c r="F13" s="170"/>
      <c r="G13" s="111"/>
    </row>
    <row r="14" spans="1:8" s="164" customFormat="1" ht="16" x14ac:dyDescent="0.35">
      <c r="A14" s="156"/>
      <c r="B14" s="157" t="s">
        <v>91</v>
      </c>
      <c r="C14" s="158" t="s">
        <v>92</v>
      </c>
      <c r="D14" s="130" t="s">
        <v>49</v>
      </c>
      <c r="E14" s="160">
        <v>9</v>
      </c>
      <c r="F14" s="174" t="s">
        <v>72</v>
      </c>
      <c r="G14" s="162"/>
      <c r="H14" s="161" t="s">
        <v>71</v>
      </c>
    </row>
    <row r="15" spans="1:8" ht="16" x14ac:dyDescent="0.35">
      <c r="A15" s="109"/>
      <c r="B15" s="135" t="s">
        <v>93</v>
      </c>
      <c r="C15" s="109"/>
      <c r="D15" s="130"/>
      <c r="E15" s="107" t="s">
        <v>21</v>
      </c>
      <c r="F15" s="170"/>
      <c r="G15" s="111"/>
    </row>
    <row r="16" spans="1:8" ht="16" x14ac:dyDescent="0.35">
      <c r="A16" s="109"/>
      <c r="B16" s="113" t="s">
        <v>94</v>
      </c>
      <c r="C16" s="109"/>
      <c r="D16" s="136"/>
      <c r="E16" s="110"/>
      <c r="F16" s="170"/>
      <c r="G16" s="111"/>
    </row>
    <row r="17" spans="1:8" ht="32" x14ac:dyDescent="0.35">
      <c r="A17" s="109"/>
      <c r="B17" s="135" t="s">
        <v>95</v>
      </c>
      <c r="C17" s="109"/>
      <c r="D17" s="136"/>
      <c r="E17" s="110"/>
      <c r="F17" s="170"/>
      <c r="G17" s="111"/>
    </row>
    <row r="18" spans="1:8" ht="16" x14ac:dyDescent="0.35">
      <c r="A18" s="109"/>
      <c r="B18" s="113" t="s">
        <v>96</v>
      </c>
      <c r="C18" s="109"/>
      <c r="D18" s="136"/>
      <c r="E18" s="110"/>
      <c r="F18" s="170"/>
      <c r="G18" s="111"/>
    </row>
    <row r="19" spans="1:8" ht="31" x14ac:dyDescent="0.35">
      <c r="A19" s="109"/>
      <c r="B19" s="113" t="s">
        <v>86</v>
      </c>
      <c r="C19" s="109"/>
      <c r="D19" s="136"/>
      <c r="E19" s="110"/>
      <c r="F19" s="170"/>
      <c r="G19" s="111"/>
    </row>
    <row r="20" spans="1:8" ht="16" x14ac:dyDescent="0.35">
      <c r="A20" s="109"/>
      <c r="B20" s="135" t="s">
        <v>97</v>
      </c>
      <c r="C20" s="109"/>
      <c r="D20" s="136"/>
      <c r="E20" s="110"/>
      <c r="F20" s="170"/>
      <c r="G20" s="111"/>
    </row>
    <row r="21" spans="1:8" x14ac:dyDescent="0.35">
      <c r="A21" s="109"/>
      <c r="B21" s="105" t="s">
        <v>24</v>
      </c>
      <c r="C21" s="109"/>
      <c r="D21" s="136"/>
      <c r="E21" s="110"/>
      <c r="F21" s="170"/>
      <c r="G21" s="111"/>
    </row>
    <row r="22" spans="1:8" ht="30" x14ac:dyDescent="0.35">
      <c r="A22" s="106" t="s">
        <v>98</v>
      </c>
      <c r="B22" s="105" t="s">
        <v>99</v>
      </c>
      <c r="C22" s="109"/>
      <c r="D22" s="106" t="s">
        <v>79</v>
      </c>
      <c r="E22" s="110"/>
      <c r="F22" s="170"/>
      <c r="G22" s="111"/>
    </row>
    <row r="23" spans="1:8" s="164" customFormat="1" ht="32" x14ac:dyDescent="0.35">
      <c r="A23" s="156"/>
      <c r="B23" s="157" t="s">
        <v>100</v>
      </c>
      <c r="C23" s="158" t="s">
        <v>101</v>
      </c>
      <c r="D23" s="159" t="s">
        <v>102</v>
      </c>
      <c r="E23" s="160">
        <v>12</v>
      </c>
      <c r="F23" s="174">
        <v>12</v>
      </c>
      <c r="G23" s="162"/>
      <c r="H23" s="161">
        <v>17</v>
      </c>
    </row>
    <row r="24" spans="1:8" ht="32" x14ac:dyDescent="0.35">
      <c r="A24" s="109"/>
      <c r="B24" s="113" t="s">
        <v>103</v>
      </c>
      <c r="C24" s="109"/>
      <c r="D24" s="136"/>
      <c r="E24" s="107" t="s">
        <v>21</v>
      </c>
      <c r="F24" s="170"/>
      <c r="G24" s="111"/>
    </row>
    <row r="25" spans="1:8" ht="16" x14ac:dyDescent="0.35">
      <c r="A25" s="109"/>
      <c r="B25" s="113" t="s">
        <v>94</v>
      </c>
      <c r="C25" s="109"/>
      <c r="D25" s="136"/>
      <c r="E25" s="110"/>
      <c r="F25" s="170"/>
      <c r="G25" s="111"/>
    </row>
    <row r="26" spans="1:8" ht="32" x14ac:dyDescent="0.35">
      <c r="A26" s="109"/>
      <c r="B26" s="135" t="s">
        <v>104</v>
      </c>
      <c r="C26" s="109"/>
      <c r="D26" s="136"/>
      <c r="E26" s="110"/>
      <c r="F26" s="170"/>
      <c r="G26" s="111"/>
    </row>
    <row r="27" spans="1:8" ht="16" x14ac:dyDescent="0.35">
      <c r="A27" s="109"/>
      <c r="B27" s="113" t="s">
        <v>105</v>
      </c>
      <c r="C27" s="109"/>
      <c r="D27" s="136"/>
      <c r="E27" s="110"/>
      <c r="F27" s="170"/>
      <c r="G27" s="111"/>
    </row>
    <row r="28" spans="1:8" ht="31" x14ac:dyDescent="0.35">
      <c r="A28" s="109"/>
      <c r="B28" s="137" t="s">
        <v>86</v>
      </c>
      <c r="C28" s="109"/>
      <c r="D28" s="136"/>
      <c r="E28" s="110"/>
      <c r="F28" s="170"/>
      <c r="G28" s="111"/>
    </row>
    <row r="29" spans="1:8" ht="16" x14ac:dyDescent="0.35">
      <c r="A29" s="109"/>
      <c r="B29" s="135" t="s">
        <v>87</v>
      </c>
      <c r="C29" s="109"/>
      <c r="D29" s="136"/>
      <c r="E29" s="110"/>
      <c r="F29" s="170"/>
      <c r="G29" s="111"/>
    </row>
    <row r="30" spans="1:8" x14ac:dyDescent="0.35">
      <c r="A30" s="109"/>
      <c r="B30" s="105" t="s">
        <v>24</v>
      </c>
      <c r="C30" s="109"/>
      <c r="D30" s="136"/>
      <c r="E30" s="110"/>
      <c r="F30" s="170"/>
      <c r="G30" s="111"/>
    </row>
    <row r="31" spans="1:8" ht="10" customHeight="1" x14ac:dyDescent="0.35">
      <c r="A31" s="109"/>
      <c r="B31" s="105"/>
      <c r="C31" s="109"/>
      <c r="D31" s="113"/>
      <c r="E31" s="110"/>
      <c r="F31" s="170"/>
      <c r="G31" s="111"/>
    </row>
    <row r="32" spans="1:8" x14ac:dyDescent="0.35">
      <c r="A32" s="128">
        <v>10</v>
      </c>
      <c r="B32" s="105" t="s">
        <v>106</v>
      </c>
      <c r="C32" s="109"/>
      <c r="D32" s="114" t="s">
        <v>25</v>
      </c>
      <c r="E32" s="114"/>
      <c r="F32" s="170"/>
      <c r="G32" s="111"/>
    </row>
    <row r="33" spans="1:8" s="164" customFormat="1" x14ac:dyDescent="0.35">
      <c r="A33" s="156"/>
      <c r="B33" s="165" t="s">
        <v>107</v>
      </c>
      <c r="C33" s="158" t="s">
        <v>108</v>
      </c>
      <c r="D33" s="139"/>
      <c r="E33" s="160">
        <v>5</v>
      </c>
      <c r="F33" s="174">
        <v>5</v>
      </c>
      <c r="G33" s="162"/>
      <c r="H33" s="161">
        <v>4</v>
      </c>
    </row>
    <row r="34" spans="1:8" ht="31" x14ac:dyDescent="0.35">
      <c r="A34" s="109"/>
      <c r="B34" s="138" t="s">
        <v>109</v>
      </c>
      <c r="C34" s="109"/>
      <c r="D34" s="139"/>
      <c r="E34" s="115" t="s">
        <v>21</v>
      </c>
      <c r="F34" s="170"/>
      <c r="G34" s="111"/>
    </row>
    <row r="35" spans="1:8" ht="10" customHeight="1" x14ac:dyDescent="0.35">
      <c r="A35" s="109"/>
      <c r="B35" s="138" t="s">
        <v>110</v>
      </c>
      <c r="C35" s="109"/>
      <c r="D35" s="139"/>
      <c r="E35" s="114"/>
      <c r="F35" s="170"/>
      <c r="G35" s="111"/>
    </row>
    <row r="36" spans="1:8" ht="11" customHeight="1" x14ac:dyDescent="0.35">
      <c r="A36" s="109"/>
      <c r="B36" s="138" t="s">
        <v>111</v>
      </c>
      <c r="C36" s="109"/>
      <c r="D36" s="139"/>
      <c r="E36" s="114"/>
      <c r="F36" s="170"/>
      <c r="G36" s="111"/>
    </row>
    <row r="37" spans="1:8" ht="31" x14ac:dyDescent="0.35">
      <c r="A37" s="109"/>
      <c r="B37" s="138" t="s">
        <v>112</v>
      </c>
      <c r="C37" s="109"/>
      <c r="D37" s="139"/>
      <c r="E37" s="114"/>
      <c r="F37" s="170"/>
      <c r="G37" s="111"/>
    </row>
    <row r="38" spans="1:8" ht="10" customHeight="1" x14ac:dyDescent="0.35">
      <c r="A38" s="109"/>
      <c r="B38" s="138" t="s">
        <v>113</v>
      </c>
      <c r="C38" s="109"/>
      <c r="D38" s="139"/>
      <c r="E38" s="114"/>
      <c r="F38" s="170"/>
      <c r="G38" s="111"/>
    </row>
    <row r="39" spans="1:8" ht="10" customHeight="1" x14ac:dyDescent="0.35">
      <c r="A39" s="109"/>
      <c r="B39" s="140" t="s">
        <v>24</v>
      </c>
      <c r="C39" s="109"/>
      <c r="D39" s="139"/>
      <c r="E39" s="114"/>
      <c r="F39" s="170"/>
      <c r="G39" s="111"/>
    </row>
    <row r="40" spans="1:8" x14ac:dyDescent="0.35">
      <c r="A40" s="128">
        <v>11</v>
      </c>
      <c r="B40" s="105" t="s">
        <v>106</v>
      </c>
      <c r="C40" s="109"/>
      <c r="D40" s="132"/>
      <c r="E40" s="114"/>
      <c r="F40" s="170"/>
      <c r="G40" s="111"/>
    </row>
    <row r="41" spans="1:8" s="164" customFormat="1" x14ac:dyDescent="0.35">
      <c r="A41" s="156"/>
      <c r="B41" s="165" t="s">
        <v>107</v>
      </c>
      <c r="C41" s="158" t="s">
        <v>114</v>
      </c>
      <c r="D41" s="166" t="s">
        <v>26</v>
      </c>
      <c r="E41" s="160">
        <v>8</v>
      </c>
      <c r="F41" s="174">
        <v>8</v>
      </c>
      <c r="G41" s="162"/>
      <c r="H41" s="161">
        <v>5</v>
      </c>
    </row>
    <row r="42" spans="1:8" ht="10" customHeight="1" x14ac:dyDescent="0.35">
      <c r="A42" s="109"/>
      <c r="B42" s="138" t="s">
        <v>115</v>
      </c>
      <c r="C42" s="109"/>
      <c r="D42" s="139"/>
      <c r="E42" s="115" t="s">
        <v>21</v>
      </c>
      <c r="F42" s="170"/>
      <c r="G42" s="111"/>
    </row>
    <row r="43" spans="1:8" ht="10" customHeight="1" x14ac:dyDescent="0.35">
      <c r="A43" s="109"/>
      <c r="B43" s="138" t="s">
        <v>116</v>
      </c>
      <c r="C43" s="109"/>
      <c r="D43" s="139"/>
      <c r="E43" s="114"/>
      <c r="F43" s="170"/>
      <c r="G43" s="111"/>
    </row>
    <row r="44" spans="1:8" ht="10" customHeight="1" x14ac:dyDescent="0.35">
      <c r="A44" s="109"/>
      <c r="B44" s="138" t="s">
        <v>117</v>
      </c>
      <c r="C44" s="109"/>
      <c r="D44" s="139"/>
      <c r="E44" s="114"/>
      <c r="F44" s="170"/>
      <c r="G44" s="111"/>
    </row>
    <row r="45" spans="1:8" ht="11" customHeight="1" x14ac:dyDescent="0.35">
      <c r="A45" s="109"/>
      <c r="B45" s="138" t="s">
        <v>118</v>
      </c>
      <c r="C45" s="109"/>
      <c r="D45" s="139"/>
      <c r="E45" s="114"/>
      <c r="F45" s="170"/>
      <c r="G45" s="111"/>
    </row>
    <row r="46" spans="1:8" ht="10" customHeight="1" x14ac:dyDescent="0.35">
      <c r="A46" s="109"/>
      <c r="B46" s="138" t="s">
        <v>119</v>
      </c>
      <c r="C46" s="109"/>
      <c r="D46" s="139"/>
      <c r="E46" s="114"/>
      <c r="F46" s="170"/>
      <c r="G46" s="111"/>
    </row>
    <row r="47" spans="1:8" x14ac:dyDescent="0.35">
      <c r="A47" s="109"/>
      <c r="B47" s="140" t="s">
        <v>24</v>
      </c>
      <c r="C47" s="109"/>
      <c r="D47" s="139"/>
      <c r="E47" s="114"/>
      <c r="F47" s="170"/>
      <c r="G47" s="111"/>
    </row>
    <row r="48" spans="1:8" x14ac:dyDescent="0.35">
      <c r="A48" s="128">
        <v>12</v>
      </c>
      <c r="B48" s="105" t="s">
        <v>120</v>
      </c>
      <c r="C48" s="109"/>
      <c r="D48" s="106" t="s">
        <v>79</v>
      </c>
      <c r="E48" s="110"/>
      <c r="F48" s="170"/>
      <c r="G48" s="111"/>
    </row>
    <row r="49" spans="1:8" s="164" customFormat="1" ht="32" x14ac:dyDescent="0.35">
      <c r="A49" s="156"/>
      <c r="B49" s="157" t="s">
        <v>121</v>
      </c>
      <c r="C49" s="158" t="s">
        <v>122</v>
      </c>
      <c r="D49" s="159" t="s">
        <v>47</v>
      </c>
      <c r="E49" s="160">
        <v>37</v>
      </c>
      <c r="F49" s="174">
        <v>37</v>
      </c>
      <c r="G49" s="162"/>
      <c r="H49" s="163">
        <v>6</v>
      </c>
    </row>
    <row r="50" spans="1:8" ht="16" x14ac:dyDescent="0.35">
      <c r="A50" s="109"/>
      <c r="B50" s="141" t="s">
        <v>123</v>
      </c>
      <c r="C50" s="109"/>
      <c r="D50" s="136"/>
      <c r="E50" s="107" t="s">
        <v>21</v>
      </c>
      <c r="F50" s="170"/>
      <c r="G50" s="111"/>
    </row>
    <row r="51" spans="1:8" ht="32" x14ac:dyDescent="0.35">
      <c r="A51" s="109"/>
      <c r="B51" s="135" t="s">
        <v>124</v>
      </c>
      <c r="C51" s="109"/>
      <c r="D51" s="136"/>
      <c r="E51" s="110"/>
      <c r="F51" s="170"/>
      <c r="G51" s="111"/>
    </row>
    <row r="52" spans="1:8" ht="16" x14ac:dyDescent="0.35">
      <c r="A52" s="109"/>
      <c r="B52" s="135" t="s">
        <v>125</v>
      </c>
      <c r="C52" s="109"/>
      <c r="D52" s="136"/>
      <c r="E52" s="110"/>
      <c r="F52" s="170"/>
      <c r="G52" s="111"/>
    </row>
    <row r="53" spans="1:8" ht="31" x14ac:dyDescent="0.35">
      <c r="A53" s="109"/>
      <c r="B53" s="113" t="s">
        <v>86</v>
      </c>
      <c r="C53" s="109"/>
      <c r="D53" s="136"/>
      <c r="E53" s="110"/>
      <c r="F53" s="170"/>
      <c r="G53" s="111"/>
    </row>
    <row r="54" spans="1:8" ht="16" x14ac:dyDescent="0.35">
      <c r="A54" s="109"/>
      <c r="B54" s="135" t="s">
        <v>126</v>
      </c>
      <c r="C54" s="109"/>
      <c r="D54" s="136"/>
      <c r="E54" s="110"/>
      <c r="F54" s="170"/>
      <c r="G54" s="111"/>
    </row>
    <row r="55" spans="1:8" x14ac:dyDescent="0.35">
      <c r="A55" s="109"/>
      <c r="B55" s="105" t="s">
        <v>24</v>
      </c>
      <c r="C55" s="109"/>
      <c r="D55" s="136"/>
      <c r="E55" s="110"/>
      <c r="F55" s="170"/>
      <c r="G55" s="111"/>
    </row>
    <row r="56" spans="1:8" x14ac:dyDescent="0.35">
      <c r="A56" s="128">
        <v>13</v>
      </c>
      <c r="B56" s="105" t="s">
        <v>127</v>
      </c>
      <c r="C56" s="109"/>
      <c r="D56" s="106" t="s">
        <v>79</v>
      </c>
      <c r="E56" s="110"/>
      <c r="F56" s="170"/>
      <c r="G56" s="111"/>
    </row>
    <row r="57" spans="1:8" s="164" customFormat="1" ht="32" x14ac:dyDescent="0.35">
      <c r="A57" s="156"/>
      <c r="B57" s="157" t="s">
        <v>128</v>
      </c>
      <c r="C57" s="158" t="s">
        <v>129</v>
      </c>
      <c r="D57" s="159" t="s">
        <v>48</v>
      </c>
      <c r="E57" s="160">
        <v>23</v>
      </c>
      <c r="F57" s="174">
        <v>23</v>
      </c>
      <c r="G57" s="162"/>
      <c r="H57" s="163">
        <v>7</v>
      </c>
    </row>
    <row r="58" spans="1:8" ht="16" x14ac:dyDescent="0.35">
      <c r="A58" s="109"/>
      <c r="B58" s="141" t="s">
        <v>130</v>
      </c>
      <c r="C58" s="109"/>
      <c r="D58" s="136"/>
      <c r="E58" s="107" t="s">
        <v>21</v>
      </c>
      <c r="F58" s="170"/>
      <c r="G58" s="111"/>
    </row>
    <row r="59" spans="1:8" ht="32" x14ac:dyDescent="0.3">
      <c r="A59" s="138"/>
      <c r="B59" s="135" t="s">
        <v>131</v>
      </c>
      <c r="C59" s="138"/>
      <c r="D59" s="136"/>
      <c r="E59" s="110"/>
      <c r="F59" s="170"/>
      <c r="G59" s="111"/>
    </row>
    <row r="60" spans="1:8" ht="16" x14ac:dyDescent="0.35">
      <c r="A60" s="109"/>
      <c r="B60" s="135" t="s">
        <v>132</v>
      </c>
      <c r="C60" s="109"/>
      <c r="D60" s="136"/>
      <c r="E60" s="110"/>
      <c r="F60" s="170"/>
      <c r="G60" s="111"/>
    </row>
    <row r="61" spans="1:8" ht="31" x14ac:dyDescent="0.35">
      <c r="A61" s="109"/>
      <c r="B61" s="113" t="s">
        <v>86</v>
      </c>
      <c r="C61" s="109"/>
      <c r="D61" s="136"/>
      <c r="E61" s="110"/>
      <c r="F61" s="170"/>
      <c r="G61" s="111"/>
    </row>
    <row r="62" spans="1:8" ht="16" x14ac:dyDescent="0.35">
      <c r="A62" s="109"/>
      <c r="B62" s="135" t="s">
        <v>126</v>
      </c>
      <c r="C62" s="109"/>
      <c r="D62" s="136"/>
      <c r="E62" s="110"/>
      <c r="F62" s="170"/>
      <c r="G62" s="111"/>
    </row>
    <row r="63" spans="1:8" x14ac:dyDescent="0.35">
      <c r="A63" s="109"/>
      <c r="B63" s="105" t="s">
        <v>24</v>
      </c>
      <c r="C63" s="109"/>
      <c r="D63" s="136"/>
      <c r="E63" s="110"/>
      <c r="F63" s="170"/>
      <c r="G63" s="111"/>
    </row>
    <row r="64" spans="1:8" ht="10" customHeight="1" x14ac:dyDescent="0.35">
      <c r="A64" s="109"/>
      <c r="B64" s="105"/>
      <c r="C64" s="109"/>
      <c r="D64" s="113"/>
      <c r="E64" s="110"/>
      <c r="F64" s="170"/>
      <c r="G64" s="111"/>
    </row>
    <row r="65" spans="1:8" s="119" customFormat="1" ht="46.5" x14ac:dyDescent="0.35">
      <c r="A65" s="151" t="s">
        <v>168</v>
      </c>
      <c r="B65" s="143" t="s">
        <v>70</v>
      </c>
      <c r="C65" s="142"/>
      <c r="D65" s="151" t="s">
        <v>69</v>
      </c>
      <c r="E65" s="118"/>
      <c r="F65" s="151">
        <v>32</v>
      </c>
      <c r="G65" s="154">
        <v>32</v>
      </c>
      <c r="H65" s="118">
        <v>8</v>
      </c>
    </row>
    <row r="66" spans="1:8" ht="17" customHeight="1" x14ac:dyDescent="0.35">
      <c r="A66" s="109"/>
      <c r="B66" s="105"/>
      <c r="C66" s="109"/>
      <c r="D66" s="171" t="s">
        <v>169</v>
      </c>
      <c r="E66" s="110"/>
      <c r="F66" s="170"/>
      <c r="G66" s="111"/>
    </row>
    <row r="67" spans="1:8" ht="18" customHeight="1" x14ac:dyDescent="0.3">
      <c r="A67" s="128">
        <v>14</v>
      </c>
      <c r="B67" s="105" t="s">
        <v>30</v>
      </c>
      <c r="C67" s="138"/>
      <c r="D67" s="151"/>
      <c r="E67" s="110"/>
      <c r="F67" s="170"/>
      <c r="G67" s="111"/>
    </row>
    <row r="68" spans="1:8" s="119" customFormat="1" ht="31" x14ac:dyDescent="0.35">
      <c r="A68" s="142"/>
      <c r="B68" s="144" t="s">
        <v>133</v>
      </c>
      <c r="C68" s="145" t="s">
        <v>134</v>
      </c>
      <c r="D68" s="151" t="s">
        <v>27</v>
      </c>
      <c r="E68" s="146">
        <v>32</v>
      </c>
      <c r="F68" s="151">
        <v>32</v>
      </c>
      <c r="G68" s="154"/>
      <c r="H68" s="118">
        <v>9</v>
      </c>
    </row>
    <row r="69" spans="1:8" x14ac:dyDescent="0.35">
      <c r="A69" s="109"/>
      <c r="B69" s="138" t="s">
        <v>135</v>
      </c>
      <c r="C69" s="109"/>
      <c r="D69" s="134"/>
      <c r="E69" s="107" t="s">
        <v>21</v>
      </c>
      <c r="F69" s="170"/>
      <c r="G69" s="111"/>
    </row>
    <row r="70" spans="1:8" ht="31" x14ac:dyDescent="0.35">
      <c r="A70" s="109"/>
      <c r="B70" s="138" t="s">
        <v>136</v>
      </c>
      <c r="C70" s="109"/>
      <c r="D70" s="134"/>
      <c r="E70" s="110"/>
      <c r="F70" s="170"/>
      <c r="G70" s="111"/>
    </row>
    <row r="71" spans="1:8" x14ac:dyDescent="0.35">
      <c r="A71" s="109"/>
      <c r="B71" s="138" t="s">
        <v>137</v>
      </c>
      <c r="C71" s="109"/>
      <c r="D71" s="134"/>
      <c r="E71" s="110"/>
      <c r="F71" s="170"/>
      <c r="G71" s="111"/>
    </row>
    <row r="72" spans="1:8" ht="31" x14ac:dyDescent="0.35">
      <c r="A72" s="109"/>
      <c r="B72" s="138" t="s">
        <v>112</v>
      </c>
      <c r="C72" s="109"/>
      <c r="D72" s="134"/>
      <c r="E72" s="110"/>
      <c r="F72" s="170"/>
      <c r="G72" s="111"/>
    </row>
    <row r="73" spans="1:8" x14ac:dyDescent="0.35">
      <c r="A73" s="109"/>
      <c r="B73" s="138" t="s">
        <v>138</v>
      </c>
      <c r="C73" s="109"/>
      <c r="D73" s="134"/>
      <c r="E73" s="110"/>
      <c r="F73" s="170"/>
      <c r="G73" s="111"/>
    </row>
    <row r="74" spans="1:8" x14ac:dyDescent="0.35">
      <c r="A74" s="109"/>
      <c r="B74" s="140" t="s">
        <v>24</v>
      </c>
      <c r="C74" s="109"/>
      <c r="D74" s="134"/>
      <c r="E74" s="110"/>
      <c r="F74" s="170"/>
      <c r="G74" s="111"/>
    </row>
    <row r="75" spans="1:8" x14ac:dyDescent="0.35">
      <c r="A75" s="128">
        <v>15</v>
      </c>
      <c r="B75" s="105" t="s">
        <v>29</v>
      </c>
      <c r="C75" s="109"/>
      <c r="D75" s="109"/>
      <c r="E75" s="110"/>
      <c r="F75" s="170"/>
      <c r="G75" s="111"/>
    </row>
    <row r="76" spans="1:8" s="164" customFormat="1" ht="46.5" x14ac:dyDescent="0.35">
      <c r="A76" s="156"/>
      <c r="B76" s="157" t="s">
        <v>139</v>
      </c>
      <c r="C76" s="158" t="s">
        <v>140</v>
      </c>
      <c r="D76" s="161" t="s">
        <v>44</v>
      </c>
      <c r="E76" s="160">
        <v>15</v>
      </c>
      <c r="F76" s="174">
        <v>15</v>
      </c>
      <c r="G76" s="162"/>
      <c r="H76" s="161">
        <v>10</v>
      </c>
    </row>
    <row r="77" spans="1:8" x14ac:dyDescent="0.35">
      <c r="A77" s="109"/>
      <c r="B77" s="113" t="s">
        <v>141</v>
      </c>
      <c r="C77" s="109"/>
      <c r="D77" s="134"/>
      <c r="E77" s="107" t="s">
        <v>21</v>
      </c>
      <c r="F77" s="170"/>
      <c r="G77" s="111"/>
    </row>
    <row r="78" spans="1:8" ht="31" x14ac:dyDescent="0.35">
      <c r="A78" s="109"/>
      <c r="B78" s="113" t="s">
        <v>142</v>
      </c>
      <c r="C78" s="109"/>
      <c r="D78" s="134"/>
      <c r="E78" s="110"/>
      <c r="F78" s="170"/>
      <c r="G78" s="111"/>
    </row>
    <row r="79" spans="1:8" x14ac:dyDescent="0.35">
      <c r="A79" s="109"/>
      <c r="B79" s="113" t="s">
        <v>143</v>
      </c>
      <c r="C79" s="109"/>
      <c r="D79" s="134"/>
      <c r="E79" s="110"/>
      <c r="F79" s="170"/>
      <c r="G79" s="111"/>
    </row>
    <row r="80" spans="1:8" ht="30.5" x14ac:dyDescent="0.35">
      <c r="A80" s="109"/>
      <c r="B80" s="113" t="s">
        <v>144</v>
      </c>
      <c r="C80" s="109"/>
      <c r="D80" s="134"/>
      <c r="E80" s="110"/>
      <c r="F80" s="170"/>
      <c r="G80" s="111"/>
    </row>
    <row r="81" spans="1:8" x14ac:dyDescent="0.35">
      <c r="A81" s="109"/>
      <c r="B81" s="113" t="s">
        <v>145</v>
      </c>
      <c r="C81" s="109"/>
      <c r="D81" s="134"/>
      <c r="E81" s="110"/>
      <c r="F81" s="170"/>
      <c r="G81" s="111"/>
    </row>
    <row r="82" spans="1:8" x14ac:dyDescent="0.35">
      <c r="A82" s="109"/>
      <c r="B82" s="147" t="s">
        <v>24</v>
      </c>
      <c r="C82" s="109"/>
      <c r="D82" s="134"/>
      <c r="E82" s="110"/>
      <c r="F82" s="170"/>
      <c r="G82" s="111"/>
    </row>
    <row r="83" spans="1:8" x14ac:dyDescent="0.35">
      <c r="A83" s="128">
        <v>16</v>
      </c>
      <c r="B83" s="105" t="s">
        <v>29</v>
      </c>
      <c r="C83" s="132"/>
      <c r="D83" s="132"/>
      <c r="E83" s="114"/>
      <c r="F83" s="170"/>
      <c r="G83" s="111"/>
    </row>
    <row r="84" spans="1:8" s="164" customFormat="1" x14ac:dyDescent="0.35">
      <c r="A84" s="156"/>
      <c r="B84" s="167" t="s">
        <v>29</v>
      </c>
      <c r="C84" s="158" t="s">
        <v>146</v>
      </c>
      <c r="D84" s="161" t="s">
        <v>28</v>
      </c>
      <c r="E84" s="160">
        <v>12</v>
      </c>
      <c r="F84" s="174">
        <v>12</v>
      </c>
      <c r="G84" s="162"/>
      <c r="H84" s="161">
        <v>11</v>
      </c>
    </row>
    <row r="85" spans="1:8" x14ac:dyDescent="0.35">
      <c r="A85" s="109"/>
      <c r="B85" s="113" t="s">
        <v>147</v>
      </c>
      <c r="C85" s="132"/>
      <c r="D85" s="139"/>
      <c r="E85" s="115" t="s">
        <v>21</v>
      </c>
      <c r="F85" s="170"/>
      <c r="G85" s="111"/>
    </row>
    <row r="86" spans="1:8" x14ac:dyDescent="0.35">
      <c r="A86" s="109"/>
      <c r="B86" s="113" t="s">
        <v>141</v>
      </c>
      <c r="C86" s="132"/>
      <c r="D86" s="139"/>
      <c r="E86" s="114"/>
      <c r="F86" s="170"/>
      <c r="G86" s="111"/>
    </row>
    <row r="87" spans="1:8" ht="31" x14ac:dyDescent="0.35">
      <c r="A87" s="109"/>
      <c r="B87" s="113" t="s">
        <v>142</v>
      </c>
      <c r="C87" s="132"/>
      <c r="D87" s="139"/>
      <c r="E87" s="114"/>
      <c r="F87" s="170"/>
      <c r="G87" s="111"/>
    </row>
    <row r="88" spans="1:8" x14ac:dyDescent="0.35">
      <c r="A88" s="109"/>
      <c r="B88" s="113" t="s">
        <v>143</v>
      </c>
      <c r="C88" s="132"/>
      <c r="D88" s="139"/>
      <c r="E88" s="114"/>
      <c r="F88" s="170"/>
      <c r="G88" s="111"/>
    </row>
    <row r="89" spans="1:8" ht="30.5" x14ac:dyDescent="0.35">
      <c r="A89" s="109"/>
      <c r="B89" s="113" t="s">
        <v>144</v>
      </c>
      <c r="C89" s="132"/>
      <c r="D89" s="139"/>
      <c r="E89" s="114"/>
      <c r="F89" s="170"/>
      <c r="G89" s="111"/>
    </row>
    <row r="90" spans="1:8" x14ac:dyDescent="0.35">
      <c r="A90" s="109"/>
      <c r="B90" s="113" t="s">
        <v>145</v>
      </c>
      <c r="C90" s="132"/>
      <c r="D90" s="139"/>
      <c r="E90" s="114"/>
      <c r="F90" s="170"/>
      <c r="G90" s="111"/>
    </row>
    <row r="91" spans="1:8" x14ac:dyDescent="0.35">
      <c r="A91" s="109"/>
      <c r="B91" s="147" t="s">
        <v>24</v>
      </c>
      <c r="C91" s="132"/>
      <c r="D91" s="139"/>
      <c r="E91" s="114"/>
      <c r="F91" s="170"/>
      <c r="G91" s="111"/>
    </row>
    <row r="92" spans="1:8" x14ac:dyDescent="0.35">
      <c r="A92" s="128">
        <v>17</v>
      </c>
      <c r="B92" s="105" t="s">
        <v>29</v>
      </c>
      <c r="C92" s="109"/>
      <c r="D92" s="109"/>
      <c r="E92" s="110"/>
      <c r="F92" s="170"/>
      <c r="G92" s="111"/>
    </row>
    <row r="93" spans="1:8" s="164" customFormat="1" x14ac:dyDescent="0.35">
      <c r="A93" s="156"/>
      <c r="B93" s="156" t="s">
        <v>147</v>
      </c>
      <c r="C93" s="158" t="s">
        <v>148</v>
      </c>
      <c r="D93" s="166" t="s">
        <v>31</v>
      </c>
      <c r="E93" s="160">
        <v>5</v>
      </c>
      <c r="F93" s="174">
        <v>5</v>
      </c>
      <c r="G93" s="162"/>
      <c r="H93" s="161">
        <v>12</v>
      </c>
    </row>
    <row r="94" spans="1:8" x14ac:dyDescent="0.35">
      <c r="A94" s="109"/>
      <c r="B94" s="109" t="s">
        <v>149</v>
      </c>
      <c r="C94" s="109"/>
      <c r="D94" s="134"/>
      <c r="E94" s="107" t="s">
        <v>21</v>
      </c>
      <c r="F94" s="170"/>
      <c r="G94" s="111"/>
    </row>
    <row r="95" spans="1:8" ht="31" x14ac:dyDescent="0.3">
      <c r="A95" s="138"/>
      <c r="B95" s="113" t="s">
        <v>150</v>
      </c>
      <c r="C95" s="138"/>
      <c r="D95" s="134"/>
      <c r="E95" s="110"/>
      <c r="F95" s="170"/>
      <c r="G95" s="111"/>
    </row>
    <row r="96" spans="1:8" x14ac:dyDescent="0.35">
      <c r="A96" s="109"/>
      <c r="B96" s="109" t="s">
        <v>151</v>
      </c>
      <c r="C96" s="109"/>
      <c r="D96" s="134"/>
      <c r="E96" s="110"/>
      <c r="F96" s="170"/>
      <c r="G96" s="111"/>
    </row>
    <row r="97" spans="1:8" ht="31" x14ac:dyDescent="0.35">
      <c r="A97" s="109"/>
      <c r="B97" s="109" t="s">
        <v>118</v>
      </c>
      <c r="C97" s="109"/>
      <c r="D97" s="134"/>
      <c r="E97" s="110"/>
      <c r="F97" s="170"/>
      <c r="G97" s="111"/>
    </row>
    <row r="98" spans="1:8" x14ac:dyDescent="0.35">
      <c r="A98" s="109"/>
      <c r="B98" s="109" t="s">
        <v>152</v>
      </c>
      <c r="C98" s="109"/>
      <c r="D98" s="134"/>
      <c r="E98" s="110"/>
      <c r="F98" s="170"/>
      <c r="G98" s="111"/>
    </row>
    <row r="99" spans="1:8" x14ac:dyDescent="0.35">
      <c r="A99" s="109"/>
      <c r="B99" s="148" t="s">
        <v>24</v>
      </c>
      <c r="C99" s="109"/>
      <c r="D99" s="134"/>
      <c r="E99" s="110"/>
      <c r="F99" s="170"/>
      <c r="G99" s="111"/>
    </row>
    <row r="100" spans="1:8" x14ac:dyDescent="0.3">
      <c r="A100" s="128">
        <v>19</v>
      </c>
      <c r="B100" s="105" t="s">
        <v>32</v>
      </c>
      <c r="C100" s="149" t="s">
        <v>33</v>
      </c>
      <c r="D100" s="110" t="s">
        <v>34</v>
      </c>
      <c r="E100" s="133">
        <v>12</v>
      </c>
      <c r="F100" s="170">
        <v>12</v>
      </c>
      <c r="G100" s="111"/>
      <c r="H100" s="110">
        <v>13</v>
      </c>
    </row>
    <row r="101" spans="1:8" ht="16" x14ac:dyDescent="0.35">
      <c r="A101" s="109"/>
      <c r="B101" s="113" t="s">
        <v>153</v>
      </c>
      <c r="C101" s="106"/>
      <c r="D101" s="134"/>
      <c r="E101" s="107" t="s">
        <v>21</v>
      </c>
      <c r="F101" s="170"/>
      <c r="G101" s="111"/>
    </row>
    <row r="102" spans="1:8" ht="32" x14ac:dyDescent="0.35">
      <c r="A102" s="109"/>
      <c r="B102" s="135" t="s">
        <v>154</v>
      </c>
      <c r="C102" s="109"/>
      <c r="D102" s="134"/>
      <c r="E102" s="107"/>
      <c r="F102" s="170"/>
      <c r="G102" s="111"/>
    </row>
    <row r="103" spans="1:8" ht="32" x14ac:dyDescent="0.35">
      <c r="A103" s="109"/>
      <c r="B103" s="135" t="s">
        <v>155</v>
      </c>
      <c r="C103" s="109"/>
      <c r="D103" s="134"/>
      <c r="E103" s="110"/>
      <c r="F103" s="170"/>
      <c r="G103" s="111"/>
    </row>
    <row r="104" spans="1:8" ht="16" x14ac:dyDescent="0.35">
      <c r="A104" s="109"/>
      <c r="B104" s="135" t="s">
        <v>156</v>
      </c>
      <c r="C104" s="109"/>
      <c r="D104" s="134"/>
      <c r="E104" s="110"/>
      <c r="F104" s="170"/>
      <c r="G104" s="111"/>
    </row>
    <row r="105" spans="1:8" ht="31" x14ac:dyDescent="0.35">
      <c r="A105" s="109"/>
      <c r="B105" s="137" t="s">
        <v>86</v>
      </c>
      <c r="C105" s="109"/>
      <c r="D105" s="134"/>
      <c r="E105" s="110"/>
      <c r="F105" s="170"/>
      <c r="G105" s="111"/>
    </row>
    <row r="106" spans="1:8" ht="16" x14ac:dyDescent="0.35">
      <c r="A106" s="109"/>
      <c r="B106" s="135" t="s">
        <v>157</v>
      </c>
      <c r="C106" s="109"/>
      <c r="D106" s="134"/>
      <c r="E106" s="110"/>
      <c r="F106" s="170"/>
      <c r="G106" s="111"/>
    </row>
    <row r="107" spans="1:8" x14ac:dyDescent="0.35">
      <c r="A107" s="109"/>
      <c r="B107" s="105" t="s">
        <v>158</v>
      </c>
      <c r="C107" s="109"/>
      <c r="D107" s="134"/>
      <c r="E107" s="110"/>
      <c r="F107" s="170"/>
      <c r="G107" s="111"/>
    </row>
    <row r="108" spans="1:8" x14ac:dyDescent="0.3">
      <c r="A108" s="128">
        <v>20</v>
      </c>
      <c r="B108" s="140" t="s">
        <v>35</v>
      </c>
      <c r="C108" s="106"/>
      <c r="D108" s="112" t="s">
        <v>37</v>
      </c>
      <c r="E108" s="133">
        <v>11</v>
      </c>
      <c r="F108" s="170">
        <v>11</v>
      </c>
      <c r="G108" s="111"/>
      <c r="H108" s="110">
        <v>14</v>
      </c>
    </row>
    <row r="109" spans="1:8" ht="16" x14ac:dyDescent="0.35">
      <c r="A109" s="109"/>
      <c r="B109" s="135" t="s">
        <v>159</v>
      </c>
      <c r="C109" s="149" t="s">
        <v>36</v>
      </c>
      <c r="D109" s="134"/>
      <c r="E109" s="107" t="s">
        <v>21</v>
      </c>
      <c r="F109" s="170"/>
      <c r="G109" s="111"/>
    </row>
    <row r="110" spans="1:8" ht="16" x14ac:dyDescent="0.35">
      <c r="A110" s="109"/>
      <c r="B110" s="135" t="s">
        <v>160</v>
      </c>
      <c r="C110" s="109"/>
      <c r="D110" s="134"/>
      <c r="E110" s="110"/>
      <c r="F110" s="170"/>
      <c r="G110" s="111"/>
    </row>
    <row r="111" spans="1:8" ht="16" x14ac:dyDescent="0.35">
      <c r="A111" s="109"/>
      <c r="B111" s="135" t="s">
        <v>161</v>
      </c>
      <c r="C111" s="109"/>
      <c r="D111" s="134"/>
      <c r="E111" s="110"/>
      <c r="F111" s="170"/>
      <c r="G111" s="111"/>
    </row>
    <row r="112" spans="1:8" ht="16" x14ac:dyDescent="0.35">
      <c r="A112" s="109"/>
      <c r="B112" s="135" t="s">
        <v>162</v>
      </c>
      <c r="C112" s="109"/>
      <c r="D112" s="134"/>
      <c r="E112" s="110"/>
      <c r="F112" s="170"/>
      <c r="G112" s="111"/>
    </row>
    <row r="113" spans="1:8" ht="31" x14ac:dyDescent="0.35">
      <c r="A113" s="109"/>
      <c r="B113" s="137" t="s">
        <v>163</v>
      </c>
      <c r="C113" s="109"/>
      <c r="D113" s="134"/>
      <c r="E113" s="110"/>
      <c r="F113" s="170"/>
      <c r="G113" s="111"/>
    </row>
    <row r="114" spans="1:8" ht="16" x14ac:dyDescent="0.35">
      <c r="A114" s="109"/>
      <c r="B114" s="135" t="s">
        <v>164</v>
      </c>
      <c r="C114" s="109"/>
      <c r="D114" s="134"/>
      <c r="E114" s="110"/>
      <c r="F114" s="170"/>
      <c r="G114" s="111"/>
    </row>
    <row r="115" spans="1:8" x14ac:dyDescent="0.35">
      <c r="A115" s="128"/>
      <c r="B115" s="105" t="s">
        <v>22</v>
      </c>
      <c r="C115" s="109"/>
      <c r="D115" s="129"/>
      <c r="E115" s="114"/>
      <c r="F115" s="170"/>
      <c r="G115" s="111"/>
    </row>
    <row r="116" spans="1:8" s="164" customFormat="1" ht="31" x14ac:dyDescent="0.35">
      <c r="A116" s="168">
        <v>21</v>
      </c>
      <c r="B116" s="169" t="s">
        <v>35</v>
      </c>
      <c r="C116" s="156"/>
      <c r="D116" s="166" t="s">
        <v>51</v>
      </c>
      <c r="E116" s="160">
        <v>11</v>
      </c>
      <c r="F116" s="174" t="s">
        <v>68</v>
      </c>
      <c r="G116" s="162"/>
      <c r="H116" s="161" t="s">
        <v>67</v>
      </c>
    </row>
    <row r="117" spans="1:8" ht="16" x14ac:dyDescent="0.35">
      <c r="A117" s="109"/>
      <c r="B117" s="135" t="s">
        <v>159</v>
      </c>
      <c r="C117" s="149" t="s">
        <v>43</v>
      </c>
      <c r="D117" s="150"/>
      <c r="E117" s="115" t="s">
        <v>42</v>
      </c>
      <c r="F117" s="170"/>
      <c r="G117" s="111"/>
    </row>
    <row r="118" spans="1:8" ht="16" x14ac:dyDescent="0.35">
      <c r="A118" s="109"/>
      <c r="B118" s="135" t="s">
        <v>165</v>
      </c>
      <c r="C118" s="109"/>
      <c r="D118" s="150"/>
      <c r="E118" s="114"/>
      <c r="F118" s="170"/>
      <c r="G118" s="111"/>
    </row>
    <row r="119" spans="1:8" ht="16" x14ac:dyDescent="0.35">
      <c r="A119" s="109"/>
      <c r="B119" s="135" t="s">
        <v>166</v>
      </c>
      <c r="C119" s="109"/>
      <c r="D119" s="150"/>
      <c r="E119" s="114"/>
      <c r="F119" s="170"/>
      <c r="G119" s="111"/>
    </row>
    <row r="120" spans="1:8" ht="16" x14ac:dyDescent="0.35">
      <c r="A120" s="109"/>
      <c r="B120" s="135" t="s">
        <v>167</v>
      </c>
      <c r="C120" s="109"/>
      <c r="D120" s="150"/>
      <c r="E120" s="114"/>
      <c r="F120" s="170"/>
      <c r="G120" s="111"/>
    </row>
    <row r="121" spans="1:8" ht="31" x14ac:dyDescent="0.35">
      <c r="A121" s="128"/>
      <c r="B121" s="137" t="s">
        <v>163</v>
      </c>
      <c r="C121" s="109"/>
      <c r="D121" s="150"/>
      <c r="E121" s="114"/>
      <c r="F121" s="170"/>
      <c r="G121" s="111"/>
    </row>
    <row r="122" spans="1:8" ht="16" x14ac:dyDescent="0.35">
      <c r="A122" s="109"/>
      <c r="B122" s="135" t="s">
        <v>164</v>
      </c>
      <c r="C122" s="106"/>
      <c r="D122" s="150"/>
      <c r="E122" s="120"/>
      <c r="F122" s="170"/>
      <c r="G122" s="111"/>
    </row>
    <row r="123" spans="1:8" x14ac:dyDescent="0.35">
      <c r="A123" s="109"/>
      <c r="B123" s="105" t="s">
        <v>22</v>
      </c>
      <c r="C123" s="109"/>
      <c r="D123" s="150"/>
      <c r="E123" s="115"/>
      <c r="F123" s="170"/>
      <c r="G123" s="111"/>
    </row>
    <row r="124" spans="1:8" ht="10.25" customHeight="1" x14ac:dyDescent="0.3">
      <c r="A124" s="123"/>
      <c r="B124" s="124"/>
      <c r="C124" s="125"/>
      <c r="D124" s="126"/>
      <c r="E124" s="127"/>
      <c r="F124" s="175"/>
      <c r="G124" s="155"/>
    </row>
  </sheetData>
  <mergeCells count="17">
    <mergeCell ref="D101:D107"/>
    <mergeCell ref="D109:D114"/>
    <mergeCell ref="D117:D123"/>
    <mergeCell ref="D58:D63"/>
    <mergeCell ref="D77:D82"/>
    <mergeCell ref="D69:D74"/>
    <mergeCell ref="D85:D91"/>
    <mergeCell ref="D94:D99"/>
    <mergeCell ref="D16:D21"/>
    <mergeCell ref="D24:D30"/>
    <mergeCell ref="D33:D39"/>
    <mergeCell ref="D42:D47"/>
    <mergeCell ref="D50:D55"/>
    <mergeCell ref="D14:D15"/>
    <mergeCell ref="C6:C7"/>
    <mergeCell ref="D6:D11"/>
    <mergeCell ref="A1:E1"/>
  </mergeCells>
  <pageMargins left="0.7" right="0.7" top="0.75" bottom="0.75" header="0.3" footer="0.3"/>
  <pageSetup paperSize="9" scale="56" fitToHeight="4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7"/>
  <sheetViews>
    <sheetView topLeftCell="F7" zoomScale="125" zoomScaleNormal="125" workbookViewId="0">
      <selection activeCell="O22" sqref="O22"/>
    </sheetView>
  </sheetViews>
  <sheetFormatPr defaultColWidth="9" defaultRowHeight="13" x14ac:dyDescent="0.3"/>
  <cols>
    <col min="1" max="1" width="4.59765625" customWidth="1"/>
    <col min="2" max="2" width="6.796875" customWidth="1"/>
    <col min="3" max="4" width="1.19921875" customWidth="1"/>
    <col min="5" max="5" width="10.3984375" customWidth="1"/>
    <col min="6" max="6" width="31.3984375" customWidth="1"/>
    <col min="7" max="7" width="2.19921875" customWidth="1"/>
    <col min="8" max="8" width="5.796875" customWidth="1"/>
    <col min="9" max="9" width="3.3984375" customWidth="1"/>
    <col min="10" max="11" width="9.3984375" customWidth="1"/>
    <col min="12" max="12" width="2.19921875" customWidth="1"/>
    <col min="13" max="13" width="5.796875" customWidth="1"/>
    <col min="14" max="14" width="2.19921875" customWidth="1"/>
    <col min="15" max="15" width="9.3984375" customWidth="1"/>
    <col min="16" max="16" width="5.796875" customWidth="1"/>
    <col min="17" max="18" width="1.19921875" customWidth="1"/>
    <col min="19" max="19" width="4.59765625" customWidth="1"/>
    <col min="20" max="20" width="50" customWidth="1"/>
    <col min="21" max="21" width="8" customWidth="1"/>
    <col min="22" max="22" width="23.3984375" customWidth="1"/>
    <col min="23" max="23" width="8" customWidth="1"/>
    <col min="24" max="24" width="21" style="7" customWidth="1"/>
    <col min="25" max="25" width="17" style="7" customWidth="1"/>
    <col min="26" max="26" width="17.796875" style="12" customWidth="1"/>
    <col min="27" max="27" width="9.3984375" style="7"/>
  </cols>
  <sheetData>
    <row r="1" spans="1:26" ht="99" customHeight="1" x14ac:dyDescent="0.2">
      <c r="A1" s="99" t="s">
        <v>0</v>
      </c>
      <c r="B1" s="99"/>
      <c r="C1" s="99"/>
      <c r="D1" s="99"/>
      <c r="E1" s="99"/>
      <c r="F1" s="100" t="s">
        <v>1</v>
      </c>
      <c r="G1" s="100"/>
      <c r="H1" s="100"/>
      <c r="I1" s="100"/>
      <c r="J1" s="100"/>
      <c r="K1" s="101" t="s">
        <v>2</v>
      </c>
      <c r="L1" s="101"/>
      <c r="M1" s="101"/>
      <c r="N1" s="101"/>
      <c r="O1" s="101"/>
      <c r="P1" s="101"/>
      <c r="Q1" s="102" t="s">
        <v>41</v>
      </c>
      <c r="R1" s="102"/>
      <c r="S1" s="102"/>
      <c r="T1" s="102"/>
      <c r="U1" s="102"/>
      <c r="V1" s="102"/>
      <c r="W1" s="102"/>
      <c r="X1" s="102"/>
    </row>
    <row r="2" spans="1:26" ht="5.25" customHeight="1" x14ac:dyDescent="0.3">
      <c r="A2" s="93" t="s">
        <v>3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1"/>
      <c r="Q2" s="80"/>
      <c r="R2" s="80"/>
      <c r="S2" s="1"/>
      <c r="T2" s="1"/>
      <c r="U2" s="1"/>
      <c r="V2" s="1"/>
      <c r="W2" s="1"/>
      <c r="X2" s="36"/>
    </row>
    <row r="3" spans="1:26" ht="17.5" customHeight="1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2"/>
      <c r="Q3" s="103"/>
      <c r="R3" s="103"/>
      <c r="S3" s="39" t="s">
        <v>4</v>
      </c>
      <c r="T3" s="39"/>
      <c r="U3" s="39"/>
      <c r="V3" s="39"/>
      <c r="W3" s="39"/>
      <c r="X3" s="39"/>
    </row>
    <row r="4" spans="1:26" ht="5.25" customHeight="1" x14ac:dyDescent="0.3">
      <c r="A4" s="1"/>
      <c r="B4" s="80"/>
      <c r="C4" s="80"/>
      <c r="D4" s="80"/>
      <c r="E4" s="80"/>
      <c r="F4" s="80"/>
      <c r="G4" s="80"/>
      <c r="H4" s="80"/>
      <c r="I4" s="80"/>
      <c r="J4" s="1"/>
      <c r="K4" s="80"/>
      <c r="L4" s="80"/>
      <c r="M4" s="80"/>
      <c r="N4" s="80"/>
      <c r="O4" s="1"/>
      <c r="P4" s="1"/>
      <c r="Q4" s="80"/>
      <c r="R4" s="80"/>
      <c r="S4" s="39"/>
      <c r="T4" s="39"/>
      <c r="U4" s="39"/>
      <c r="V4" s="39"/>
      <c r="W4" s="39"/>
      <c r="X4" s="39"/>
    </row>
    <row r="5" spans="1:26" ht="34" customHeight="1" x14ac:dyDescent="0.3">
      <c r="A5" s="3" t="s">
        <v>5</v>
      </c>
      <c r="B5" s="81" t="s">
        <v>6</v>
      </c>
      <c r="C5" s="82"/>
      <c r="D5" s="82"/>
      <c r="E5" s="82"/>
      <c r="F5" s="82"/>
      <c r="G5" s="83"/>
      <c r="H5" s="84" t="s">
        <v>7</v>
      </c>
      <c r="I5" s="85"/>
      <c r="J5" s="86" t="s">
        <v>8</v>
      </c>
      <c r="K5" s="87"/>
      <c r="L5" s="88"/>
      <c r="M5" s="89" t="s">
        <v>9</v>
      </c>
      <c r="N5" s="90"/>
      <c r="O5" s="91" t="s">
        <v>10</v>
      </c>
      <c r="P5" s="92"/>
      <c r="Q5" s="93"/>
      <c r="R5" s="93"/>
      <c r="S5" s="5" t="s">
        <v>5</v>
      </c>
      <c r="T5" s="6" t="s">
        <v>6</v>
      </c>
      <c r="U5" s="4" t="s">
        <v>7</v>
      </c>
      <c r="V5" s="4" t="s">
        <v>8</v>
      </c>
      <c r="W5" s="5" t="s">
        <v>9</v>
      </c>
      <c r="X5" s="37" t="s">
        <v>46</v>
      </c>
      <c r="Y5" s="8" t="s">
        <v>45</v>
      </c>
      <c r="Z5" s="15" t="s">
        <v>20</v>
      </c>
    </row>
    <row r="6" spans="1:26" ht="10" customHeight="1" x14ac:dyDescent="0.3">
      <c r="A6" s="16">
        <v>22</v>
      </c>
      <c r="B6" s="45" t="s">
        <v>38</v>
      </c>
      <c r="C6" s="46"/>
      <c r="D6" s="46"/>
      <c r="E6" s="46"/>
      <c r="F6" s="46"/>
      <c r="G6" s="47"/>
      <c r="H6" s="43"/>
      <c r="I6" s="44"/>
      <c r="J6" s="77" t="s">
        <v>50</v>
      </c>
      <c r="K6" s="78"/>
      <c r="L6" s="79"/>
      <c r="M6" s="43"/>
      <c r="N6" s="44"/>
      <c r="O6" s="43"/>
      <c r="P6" s="44"/>
      <c r="Q6" s="21"/>
      <c r="R6" s="21"/>
      <c r="S6" s="22">
        <v>22</v>
      </c>
      <c r="T6" s="23" t="s">
        <v>52</v>
      </c>
      <c r="U6" s="20"/>
      <c r="V6" s="9" t="s">
        <v>60</v>
      </c>
      <c r="W6" s="24"/>
      <c r="X6" s="38"/>
      <c r="Y6" s="94">
        <v>35890</v>
      </c>
      <c r="Z6" s="95">
        <f>Y6*W7</f>
        <v>71780</v>
      </c>
    </row>
    <row r="7" spans="1:26" ht="10.25" customHeight="1" x14ac:dyDescent="0.3">
      <c r="A7" s="17"/>
      <c r="B7" s="49" t="s">
        <v>13</v>
      </c>
      <c r="C7" s="50"/>
      <c r="D7" s="50"/>
      <c r="E7" s="50"/>
      <c r="F7" s="50"/>
      <c r="G7" s="51"/>
      <c r="H7" s="52" t="s">
        <v>14</v>
      </c>
      <c r="I7" s="53"/>
      <c r="J7" s="54">
        <v>301004</v>
      </c>
      <c r="K7" s="55"/>
      <c r="L7" s="56"/>
      <c r="M7" s="57">
        <v>2</v>
      </c>
      <c r="N7" s="58"/>
      <c r="O7" s="59" t="s">
        <v>15</v>
      </c>
      <c r="P7" s="60"/>
      <c r="Q7" s="21"/>
      <c r="R7" s="21"/>
      <c r="S7" s="26"/>
      <c r="T7" s="27" t="s">
        <v>53</v>
      </c>
      <c r="U7" s="10" t="s">
        <v>61</v>
      </c>
      <c r="V7" s="9">
        <v>301004</v>
      </c>
      <c r="W7" s="19">
        <v>2</v>
      </c>
      <c r="X7" s="96" t="s">
        <v>62</v>
      </c>
      <c r="Y7" s="94"/>
      <c r="Z7" s="95"/>
    </row>
    <row r="8" spans="1:26" x14ac:dyDescent="0.3">
      <c r="A8" s="18"/>
      <c r="B8" s="49" t="s">
        <v>16</v>
      </c>
      <c r="C8" s="50"/>
      <c r="D8" s="50"/>
      <c r="E8" s="50"/>
      <c r="F8" s="50"/>
      <c r="G8" s="51"/>
      <c r="H8" s="65"/>
      <c r="I8" s="66"/>
      <c r="J8" s="67"/>
      <c r="K8" s="68"/>
      <c r="L8" s="69"/>
      <c r="M8" s="52" t="s">
        <v>12</v>
      </c>
      <c r="N8" s="53"/>
      <c r="O8" s="61"/>
      <c r="P8" s="62"/>
      <c r="Q8" s="21"/>
      <c r="R8" s="21"/>
      <c r="S8" s="26"/>
      <c r="T8" s="27" t="s">
        <v>54</v>
      </c>
      <c r="U8" s="20"/>
      <c r="V8" s="40"/>
      <c r="W8" s="19" t="s">
        <v>42</v>
      </c>
      <c r="X8" s="97"/>
      <c r="Y8" s="94"/>
      <c r="Z8" s="95"/>
    </row>
    <row r="9" spans="1:26" ht="10.25" customHeight="1" x14ac:dyDescent="0.3">
      <c r="A9" s="17"/>
      <c r="B9" s="49" t="s">
        <v>17</v>
      </c>
      <c r="C9" s="50"/>
      <c r="D9" s="50"/>
      <c r="E9" s="50"/>
      <c r="F9" s="50"/>
      <c r="G9" s="51"/>
      <c r="H9" s="43"/>
      <c r="I9" s="44"/>
      <c r="J9" s="70"/>
      <c r="K9" s="71"/>
      <c r="L9" s="72"/>
      <c r="M9" s="43"/>
      <c r="N9" s="44"/>
      <c r="O9" s="61"/>
      <c r="P9" s="62"/>
      <c r="Q9" s="21"/>
      <c r="R9" s="21"/>
      <c r="S9" s="22"/>
      <c r="T9" s="27" t="s">
        <v>55</v>
      </c>
      <c r="U9" s="28"/>
      <c r="V9" s="41"/>
      <c r="W9" s="29"/>
      <c r="X9" s="97"/>
      <c r="Y9" s="94"/>
      <c r="Z9" s="95"/>
    </row>
    <row r="10" spans="1:26" ht="10.25" customHeight="1" x14ac:dyDescent="0.3">
      <c r="A10" s="17"/>
      <c r="B10" s="49" t="s">
        <v>18</v>
      </c>
      <c r="C10" s="50"/>
      <c r="D10" s="50"/>
      <c r="E10" s="50"/>
      <c r="F10" s="50"/>
      <c r="G10" s="51"/>
      <c r="H10" s="43"/>
      <c r="I10" s="44"/>
      <c r="J10" s="70"/>
      <c r="K10" s="71"/>
      <c r="L10" s="72"/>
      <c r="M10" s="43"/>
      <c r="N10" s="44"/>
      <c r="O10" s="61"/>
      <c r="P10" s="62"/>
      <c r="Q10" s="21"/>
      <c r="R10" s="21"/>
      <c r="S10" s="26"/>
      <c r="T10" s="27" t="s">
        <v>56</v>
      </c>
      <c r="U10" s="25"/>
      <c r="V10" s="41"/>
      <c r="W10" s="30"/>
      <c r="X10" s="97"/>
      <c r="Y10" s="94"/>
      <c r="Z10" s="95"/>
    </row>
    <row r="11" spans="1:26" ht="10.25" customHeight="1" x14ac:dyDescent="0.3">
      <c r="A11" s="17"/>
      <c r="B11" s="76" t="s">
        <v>11</v>
      </c>
      <c r="C11" s="50"/>
      <c r="D11" s="50"/>
      <c r="E11" s="50"/>
      <c r="F11" s="50"/>
      <c r="G11" s="51"/>
      <c r="H11" s="43"/>
      <c r="I11" s="44"/>
      <c r="J11" s="70"/>
      <c r="K11" s="71"/>
      <c r="L11" s="72"/>
      <c r="M11" s="43"/>
      <c r="N11" s="44"/>
      <c r="O11" s="61"/>
      <c r="P11" s="62"/>
      <c r="Q11" s="21"/>
      <c r="R11" s="21"/>
      <c r="S11" s="26"/>
      <c r="T11" s="31" t="s">
        <v>57</v>
      </c>
      <c r="U11" s="20"/>
      <c r="V11" s="41"/>
      <c r="W11" s="32"/>
      <c r="X11" s="97"/>
      <c r="Y11" s="94"/>
      <c r="Z11" s="95"/>
    </row>
    <row r="12" spans="1:26" ht="10.25" customHeight="1" x14ac:dyDescent="0.3">
      <c r="A12" s="17"/>
      <c r="B12" s="49" t="s">
        <v>19</v>
      </c>
      <c r="C12" s="50"/>
      <c r="D12" s="50"/>
      <c r="E12" s="50"/>
      <c r="F12" s="50"/>
      <c r="G12" s="51"/>
      <c r="H12" s="43"/>
      <c r="I12" s="44"/>
      <c r="J12" s="70"/>
      <c r="K12" s="71"/>
      <c r="L12" s="72"/>
      <c r="M12" s="43"/>
      <c r="N12" s="44"/>
      <c r="O12" s="61"/>
      <c r="P12" s="62"/>
      <c r="Q12" s="21"/>
      <c r="R12" s="21"/>
      <c r="S12" s="26"/>
      <c r="T12" s="27" t="s">
        <v>58</v>
      </c>
      <c r="U12" s="20"/>
      <c r="V12" s="41"/>
      <c r="W12" s="24"/>
      <c r="X12" s="97"/>
      <c r="Y12" s="94"/>
      <c r="Z12" s="95"/>
    </row>
    <row r="13" spans="1:26" ht="10.25" customHeight="1" x14ac:dyDescent="0.3">
      <c r="A13" s="17"/>
      <c r="B13" s="45" t="s">
        <v>59</v>
      </c>
      <c r="C13" s="46"/>
      <c r="D13" s="46"/>
      <c r="E13" s="46"/>
      <c r="F13" s="46"/>
      <c r="G13" s="47"/>
      <c r="H13" s="43"/>
      <c r="I13" s="44"/>
      <c r="J13" s="73"/>
      <c r="K13" s="74"/>
      <c r="L13" s="75"/>
      <c r="M13" s="43"/>
      <c r="N13" s="44"/>
      <c r="O13" s="63"/>
      <c r="P13" s="64"/>
      <c r="Q13" s="21"/>
      <c r="R13" s="21"/>
      <c r="S13" s="26"/>
      <c r="T13" s="33" t="s">
        <v>59</v>
      </c>
      <c r="U13" s="20"/>
      <c r="V13" s="42"/>
      <c r="W13" s="24"/>
      <c r="X13" s="97"/>
      <c r="Y13" s="94"/>
      <c r="Z13" s="95"/>
    </row>
    <row r="14" spans="1:26" ht="10.25" customHeight="1" x14ac:dyDescent="0.3">
      <c r="A14" s="17"/>
      <c r="B14" s="43"/>
      <c r="C14" s="48"/>
      <c r="D14" s="48"/>
      <c r="E14" s="48"/>
      <c r="F14" s="48"/>
      <c r="G14" s="44"/>
      <c r="H14" s="43"/>
      <c r="I14" s="44"/>
      <c r="J14" s="43"/>
      <c r="K14" s="48"/>
      <c r="L14" s="44"/>
      <c r="M14" s="43"/>
      <c r="N14" s="44"/>
      <c r="O14" s="43"/>
      <c r="P14" s="44"/>
      <c r="Q14" s="21"/>
      <c r="R14" s="21"/>
      <c r="S14" s="26"/>
      <c r="T14" s="34"/>
      <c r="U14" s="20"/>
      <c r="V14" s="35"/>
      <c r="W14" s="24"/>
      <c r="X14" s="98"/>
      <c r="Y14" s="94"/>
      <c r="Z14" s="95"/>
    </row>
    <row r="15" spans="1:26" x14ac:dyDescent="0.3">
      <c r="Y15" s="11" t="s">
        <v>20</v>
      </c>
      <c r="Z15" s="13">
        <f>SUM(Z6:Z14)</f>
        <v>71780</v>
      </c>
    </row>
    <row r="16" spans="1:26" x14ac:dyDescent="0.3">
      <c r="Y16" s="11" t="s">
        <v>39</v>
      </c>
      <c r="Z16" s="14">
        <f>Z15*18%</f>
        <v>12920.4</v>
      </c>
    </row>
    <row r="17" spans="25:26" x14ac:dyDescent="0.3">
      <c r="Y17" s="11" t="s">
        <v>40</v>
      </c>
      <c r="Z17" s="14">
        <f>Z15+Z16</f>
        <v>84700.4</v>
      </c>
    </row>
  </sheetData>
  <mergeCells count="58">
    <mergeCell ref="V8:V13"/>
    <mergeCell ref="Y6:Y14"/>
    <mergeCell ref="Z6:Z14"/>
    <mergeCell ref="X7:X14"/>
    <mergeCell ref="A1:E1"/>
    <mergeCell ref="F1:J1"/>
    <mergeCell ref="K1:P1"/>
    <mergeCell ref="Q1:X1"/>
    <mergeCell ref="A2:O3"/>
    <mergeCell ref="Q2:R2"/>
    <mergeCell ref="Q3:R3"/>
    <mergeCell ref="S3:X4"/>
    <mergeCell ref="B4:E4"/>
    <mergeCell ref="F4:G4"/>
    <mergeCell ref="H4:I4"/>
    <mergeCell ref="K4:L4"/>
    <mergeCell ref="M4:N4"/>
    <mergeCell ref="Q4:R4"/>
    <mergeCell ref="B5:G5"/>
    <mergeCell ref="H5:I5"/>
    <mergeCell ref="J5:L5"/>
    <mergeCell ref="M5:N5"/>
    <mergeCell ref="O5:P5"/>
    <mergeCell ref="Q5:R5"/>
    <mergeCell ref="B6:G6"/>
    <mergeCell ref="H6:I6"/>
    <mergeCell ref="J6:L6"/>
    <mergeCell ref="M6:N6"/>
    <mergeCell ref="O6:P6"/>
    <mergeCell ref="B7:G7"/>
    <mergeCell ref="H7:I7"/>
    <mergeCell ref="J7:L7"/>
    <mergeCell ref="M7:N7"/>
    <mergeCell ref="O7:P13"/>
    <mergeCell ref="B8:G8"/>
    <mergeCell ref="H8:I8"/>
    <mergeCell ref="J8:L13"/>
    <mergeCell ref="M8:N8"/>
    <mergeCell ref="B9:G9"/>
    <mergeCell ref="H9:I9"/>
    <mergeCell ref="M9:N9"/>
    <mergeCell ref="B10:G10"/>
    <mergeCell ref="H10:I10"/>
    <mergeCell ref="M10:N10"/>
    <mergeCell ref="B11:G11"/>
    <mergeCell ref="H11:I11"/>
    <mergeCell ref="M11:N11"/>
    <mergeCell ref="B12:G12"/>
    <mergeCell ref="H12:I12"/>
    <mergeCell ref="M12:N12"/>
    <mergeCell ref="O14:P14"/>
    <mergeCell ref="B13:G13"/>
    <mergeCell ref="H13:I13"/>
    <mergeCell ref="M13:N13"/>
    <mergeCell ref="B14:G14"/>
    <mergeCell ref="H14:I14"/>
    <mergeCell ref="J14:L14"/>
    <mergeCell ref="M14:N14"/>
  </mergeCells>
  <pageMargins left="0.7" right="0.7" top="0.75" bottom="0.75" header="0.3" footer="0.3"/>
  <pageSetup paperSize="9" scale="56" fitToHeight="4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ENDO</vt:lpstr>
      <vt:lpstr>Underwater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L@W-RGV-03-Interior BOQ-22Oct24.xls</dc:title>
  <dc:creator>Mitali.b</dc:creator>
  <cp:lastModifiedBy>ACCOUNTS</cp:lastModifiedBy>
  <cp:lastPrinted>2024-10-25T18:57:06Z</cp:lastPrinted>
  <dcterms:created xsi:type="dcterms:W3CDTF">2024-10-24T07:02:59Z</dcterms:created>
  <dcterms:modified xsi:type="dcterms:W3CDTF">2025-04-29T11:00:22Z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2024-10-22T00:00:00Z</vt:filetime>
  </property>
  <property fmtid="{D5CDD505-2E9C-101B-9397-08002B2CF9AE}" pid="3" name="LastSaved">
    <vt:filetime>2024-10-24T00:00:00Z</vt:filetime>
  </property>
  <property fmtid="{D5CDD505-2E9C-101B-9397-08002B2CF9AE}" pid="4" name="Producer">
    <vt:lpwstr>Microsoft: Print To PDF</vt:lpwstr>
  </property>
</Properties>
</file>