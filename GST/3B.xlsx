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GST\"/>
    </mc:Choice>
  </mc:AlternateContent>
  <xr:revisionPtr revIDLastSave="0" documentId="13_ncr:1_{AEA4F351-C151-4894-BA8A-9123A3B839CC}" xr6:coauthVersionLast="47" xr6:coauthVersionMax="47" xr10:uidLastSave="{00000000-0000-0000-0000-000000000000}"/>
  <bookViews>
    <workbookView xWindow="-110" yWindow="-110" windowWidth="19420" windowHeight="10420" activeTab="1" xr2:uid="{6D15B6A7-5B3B-40D2-BA94-AC756FA278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F40" i="1"/>
  <c r="E40" i="1"/>
  <c r="D40" i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G40" i="1" s="1"/>
  <c r="E10" i="1"/>
  <c r="D10" i="1"/>
  <c r="F9" i="1"/>
  <c r="G9" i="1" s="1"/>
  <c r="H9" i="1" s="1"/>
  <c r="G8" i="1"/>
  <c r="H8" i="1" s="1"/>
  <c r="F8" i="1"/>
  <c r="F7" i="1"/>
  <c r="F6" i="1"/>
  <c r="F5" i="1"/>
  <c r="F10" i="1" s="1"/>
  <c r="G7" i="1" l="1"/>
  <c r="H7" i="1" s="1"/>
  <c r="G6" i="1"/>
  <c r="H6" i="1" s="1"/>
  <c r="G5" i="1"/>
  <c r="H13" i="1"/>
  <c r="H40" i="1" s="1"/>
  <c r="G10" i="1" l="1"/>
  <c r="H5" i="1"/>
  <c r="H10" i="1" s="1"/>
</calcChain>
</file>

<file path=xl/sharedStrings.xml><?xml version="1.0" encoding="utf-8"?>
<sst xmlns="http://schemas.openxmlformats.org/spreadsheetml/2006/main" count="139" uniqueCount="104">
  <si>
    <t>SEPTEMBER</t>
  </si>
  <si>
    <t>Sales</t>
  </si>
  <si>
    <t>DATE</t>
  </si>
  <si>
    <t>PARTY</t>
  </si>
  <si>
    <t>Invoice No</t>
  </si>
  <si>
    <t>Taxable</t>
  </si>
  <si>
    <t>output IGST</t>
  </si>
  <si>
    <t>CGST</t>
  </si>
  <si>
    <t>SGST</t>
  </si>
  <si>
    <t>TOTAL INVOICE AMOUNT</t>
  </si>
  <si>
    <t>17/09/2024</t>
  </si>
  <si>
    <t>Putzmeister Concrete Machines Pvt Ltd</t>
  </si>
  <si>
    <t>b24-25MQ206</t>
  </si>
  <si>
    <t>23/09/2024</t>
  </si>
  <si>
    <t>b24-25MQ208</t>
  </si>
  <si>
    <t>b24-25MQ209</t>
  </si>
  <si>
    <t>TOTAL</t>
  </si>
  <si>
    <t>Purchase</t>
  </si>
  <si>
    <t>Invoice</t>
  </si>
  <si>
    <t>Input IGST</t>
  </si>
  <si>
    <t>CESS</t>
  </si>
  <si>
    <t>GST NO</t>
  </si>
  <si>
    <t>14/08/2024</t>
  </si>
  <si>
    <t>COUNTO  AUTOMOBILES  PVT.  LTD.,</t>
  </si>
  <si>
    <t>W6201G202417314</t>
  </si>
  <si>
    <t>30AAHCS9580M1ZU</t>
  </si>
  <si>
    <t>19/09/2024</t>
  </si>
  <si>
    <t>SHREE LAXMI LIGHTING HUB</t>
  </si>
  <si>
    <t>SLH/2179</t>
  </si>
  <si>
    <t>30AEAFS6324R1ZT</t>
  </si>
  <si>
    <t>28/09/2024</t>
  </si>
  <si>
    <t>VRL LOGISTICS LIMITED.</t>
  </si>
  <si>
    <t>2881101202</t>
  </si>
  <si>
    <t>24AABCV3609C1ZT</t>
  </si>
  <si>
    <t>05/09/2024</t>
  </si>
  <si>
    <t>Print House</t>
  </si>
  <si>
    <t>2024-25/6620</t>
  </si>
  <si>
    <t>30AGKPP2021J1ZR</t>
  </si>
  <si>
    <t>02/09/2024</t>
  </si>
  <si>
    <t>ELECTRONIC CENTRE</t>
  </si>
  <si>
    <t>EC/24-25/1194</t>
  </si>
  <si>
    <t>30ARNPD8497N1Z5</t>
  </si>
  <si>
    <t>06/09/2024</t>
  </si>
  <si>
    <t>EC/24-25/1227</t>
  </si>
  <si>
    <t>25/09/2024</t>
  </si>
  <si>
    <t>Sini Tyre Care</t>
  </si>
  <si>
    <t>STC/24-25/3941</t>
  </si>
  <si>
    <t>30BFDPB6041R1ZL</t>
  </si>
  <si>
    <t>14/09/2024</t>
  </si>
  <si>
    <t>IRIS BUSINESS PARK</t>
  </si>
  <si>
    <t>BOM9367001427024</t>
  </si>
  <si>
    <t>27AAAAI6134Q2Z9</t>
  </si>
  <si>
    <t>MICROCITI - TRADING</t>
  </si>
  <si>
    <t>PAN7832/24-25</t>
  </si>
  <si>
    <t>30AEGPJ8013C1Z8</t>
  </si>
  <si>
    <t>20/09/2024</t>
  </si>
  <si>
    <t>PAN7901/24-25</t>
  </si>
  <si>
    <t>KRISHNA PAINTS AND SANITARY</t>
  </si>
  <si>
    <t>CR-428</t>
  </si>
  <si>
    <t>30AJYPC9690H2ZQ</t>
  </si>
  <si>
    <t>CR-429</t>
  </si>
  <si>
    <t>VISVONATA V.S. DUCLO</t>
  </si>
  <si>
    <t>VCM596</t>
  </si>
  <si>
    <t>30AABFV2740D1ZU</t>
  </si>
  <si>
    <t>VCM630</t>
  </si>
  <si>
    <t>24/08/2024</t>
  </si>
  <si>
    <t>STC/24-25/3262</t>
  </si>
  <si>
    <t>04/09/2024</t>
  </si>
  <si>
    <t>NAMRATA RUBBER PRODUCT PRIVATE LIMITED</t>
  </si>
  <si>
    <t>24-25/257</t>
  </si>
  <si>
    <t>27AAICN6069P1ZL</t>
  </si>
  <si>
    <t>24-25/258</t>
  </si>
  <si>
    <t>09/09/2024</t>
  </si>
  <si>
    <t>24-25/259</t>
  </si>
  <si>
    <t>10/09/2024</t>
  </si>
  <si>
    <t>24-25/260</t>
  </si>
  <si>
    <t>BLUE SMART ELEVATORS</t>
  </si>
  <si>
    <t>102/2024-25</t>
  </si>
  <si>
    <t>29CPXPM8547L1ZK</t>
  </si>
  <si>
    <t>13/09/2024</t>
  </si>
  <si>
    <t>PRITHVI IT PRODUCTS PVT. LTD.</t>
  </si>
  <si>
    <t>PNJ/SEP24/115</t>
  </si>
  <si>
    <t>30AAECP3506H1ZX</t>
  </si>
  <si>
    <t>16/09/2024</t>
  </si>
  <si>
    <t>PNJ/SEP24/137</t>
  </si>
  <si>
    <t>24/06/2024</t>
  </si>
  <si>
    <t>ANIL STEEL AND COMPANY</t>
  </si>
  <si>
    <t>926</t>
  </si>
  <si>
    <t>30DWKPK2286P1Z1</t>
  </si>
  <si>
    <t>COLLECTIVE TRADE LINKS PVT.LTD</t>
  </si>
  <si>
    <t>I-C-1-24-462569</t>
  </si>
  <si>
    <t>24AACCC4813C1ZB</t>
  </si>
  <si>
    <t>19/07/2024</t>
  </si>
  <si>
    <t>HHHK ENTERPRISE</t>
  </si>
  <si>
    <t>IN-25659</t>
  </si>
  <si>
    <t>24ABFPF5217J1ZX</t>
  </si>
  <si>
    <t>21/09/2024</t>
  </si>
  <si>
    <t>VANTAGE RUBBER CO.</t>
  </si>
  <si>
    <t>840</t>
  </si>
  <si>
    <t>07ADGPJ0915Q1ZB</t>
  </si>
  <si>
    <t>12/09/2024</t>
  </si>
  <si>
    <t>DELL INTERNATIONAL SERVICES INDIA PRIVATE LIMITED</t>
  </si>
  <si>
    <t>2410725565</t>
  </si>
  <si>
    <t>33AAACH1925Q1ZH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</si>
</sst>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2" fontId="4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3" xfId="0" applyBorder="1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/>
    <xf numFmtId="0" fontId="0" fillId="0" borderId="13" xfId="0" applyBorder="1" applyAlignme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976-5A65-407A-87BE-461CE56BC1FF}">
  <dimension ref="A1:J41"/>
  <sheetViews>
    <sheetView topLeftCell="C19" workbookViewId="0">
      <selection activeCell="L4" sqref="L4"/>
    </sheetView>
  </sheetViews>
  <sheetFormatPr defaultRowHeight="14.5" x14ac:dyDescent="0.35"/>
  <cols>
    <col min="1" max="1" width="10.453125" bestFit="1" customWidth="1"/>
    <col min="2" max="2" width="47.6328125" bestFit="1" customWidth="1"/>
    <col min="3" max="3" width="18.1796875" bestFit="1" customWidth="1"/>
    <col min="4" max="4" width="15.453125" customWidth="1"/>
    <col min="5" max="5" width="13.54296875" bestFit="1" customWidth="1"/>
    <col min="6" max="6" width="12.6328125" bestFit="1" customWidth="1"/>
    <col min="7" max="7" width="12" bestFit="1" customWidth="1"/>
    <col min="8" max="8" width="22.1796875" bestFit="1" customWidth="1"/>
    <col min="10" max="10" width="17.54296875" bestFit="1" customWidth="1"/>
  </cols>
  <sheetData>
    <row r="1" spans="1:10" x14ac:dyDescent="0.35">
      <c r="A1" s="23"/>
      <c r="B1" s="23"/>
      <c r="C1" s="23"/>
      <c r="D1" s="23"/>
      <c r="E1" s="23"/>
      <c r="F1" s="23"/>
      <c r="G1" s="23"/>
      <c r="H1" s="1"/>
      <c r="I1" s="23"/>
      <c r="J1" s="23"/>
    </row>
    <row r="2" spans="1:10" ht="21" x14ac:dyDescent="0.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21" x14ac:dyDescent="0.5">
      <c r="A3" s="29" t="s">
        <v>1</v>
      </c>
      <c r="B3" s="29"/>
      <c r="C3" s="29"/>
      <c r="D3" s="29"/>
      <c r="E3" s="29"/>
      <c r="F3" s="29"/>
      <c r="G3" s="29"/>
      <c r="H3" s="29"/>
      <c r="I3" s="23"/>
      <c r="J3" s="23"/>
    </row>
    <row r="4" spans="1:10" x14ac:dyDescent="0.35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I4" s="23"/>
      <c r="J4" s="23"/>
    </row>
    <row r="5" spans="1:10" ht="15.5" x14ac:dyDescent="0.35">
      <c r="A5" s="2" t="s">
        <v>10</v>
      </c>
      <c r="B5" s="3" t="s">
        <v>11</v>
      </c>
      <c r="C5" s="2" t="s">
        <v>12</v>
      </c>
      <c r="D5" s="2">
        <v>546186</v>
      </c>
      <c r="E5" s="2">
        <v>0</v>
      </c>
      <c r="F5" s="2">
        <f>D5*9%</f>
        <v>49156.74</v>
      </c>
      <c r="G5" s="2">
        <f>F5</f>
        <v>49156.74</v>
      </c>
      <c r="H5" s="2">
        <f>D5+E5+F5+G5</f>
        <v>644499.48</v>
      </c>
      <c r="I5" s="4"/>
      <c r="J5" s="4"/>
    </row>
    <row r="6" spans="1:10" ht="15.5" x14ac:dyDescent="0.35">
      <c r="A6" s="2" t="s">
        <v>13</v>
      </c>
      <c r="B6" s="3" t="s">
        <v>11</v>
      </c>
      <c r="C6" s="2" t="s">
        <v>14</v>
      </c>
      <c r="D6" s="2">
        <v>225000</v>
      </c>
      <c r="E6" s="2"/>
      <c r="F6" s="2">
        <f t="shared" ref="F6:F9" si="0">D6*9%</f>
        <v>20250</v>
      </c>
      <c r="G6" s="2">
        <f t="shared" ref="G6:G9" si="1">F6</f>
        <v>20250</v>
      </c>
      <c r="H6" s="2">
        <f t="shared" ref="H6:H8" si="2">D6+E6+F6+G6</f>
        <v>265500</v>
      </c>
      <c r="I6" s="4"/>
      <c r="J6" s="4"/>
    </row>
    <row r="7" spans="1:10" ht="15.5" x14ac:dyDescent="0.35">
      <c r="A7" s="2" t="s">
        <v>13</v>
      </c>
      <c r="B7" s="3" t="s">
        <v>11</v>
      </c>
      <c r="C7" s="2" t="s">
        <v>15</v>
      </c>
      <c r="D7" s="2">
        <v>112541</v>
      </c>
      <c r="E7" s="2"/>
      <c r="F7" s="2">
        <f t="shared" si="0"/>
        <v>10128.69</v>
      </c>
      <c r="G7" s="2">
        <f t="shared" si="1"/>
        <v>10128.69</v>
      </c>
      <c r="H7" s="2">
        <f t="shared" si="2"/>
        <v>132798.38</v>
      </c>
      <c r="I7" s="4"/>
      <c r="J7" s="4"/>
    </row>
    <row r="8" spans="1:10" x14ac:dyDescent="0.35">
      <c r="A8" s="2"/>
      <c r="B8" s="2"/>
      <c r="C8" s="2"/>
      <c r="D8" s="2"/>
      <c r="E8" s="2"/>
      <c r="F8" s="2">
        <f t="shared" si="0"/>
        <v>0</v>
      </c>
      <c r="G8" s="2">
        <f t="shared" si="1"/>
        <v>0</v>
      </c>
      <c r="H8" s="2">
        <f t="shared" si="2"/>
        <v>0</v>
      </c>
      <c r="I8" s="4"/>
      <c r="J8" s="4"/>
    </row>
    <row r="9" spans="1:10" x14ac:dyDescent="0.35">
      <c r="A9" s="2"/>
      <c r="B9" s="2"/>
      <c r="C9" s="2"/>
      <c r="D9" s="2"/>
      <c r="E9" s="2"/>
      <c r="F9" s="2">
        <f t="shared" si="0"/>
        <v>0</v>
      </c>
      <c r="G9" s="2">
        <f t="shared" si="1"/>
        <v>0</v>
      </c>
      <c r="H9" s="2">
        <f>D9+E9+F9+G9</f>
        <v>0</v>
      </c>
      <c r="I9" s="4"/>
      <c r="J9" s="4"/>
    </row>
    <row r="10" spans="1:10" ht="21" x14ac:dyDescent="0.5">
      <c r="A10" s="30" t="s">
        <v>16</v>
      </c>
      <c r="B10" s="31"/>
      <c r="C10" s="32"/>
      <c r="D10" s="25">
        <f>SUM(D5:D9)</f>
        <v>883727</v>
      </c>
      <c r="E10" s="25">
        <f>SUM(E5:E9)</f>
        <v>0</v>
      </c>
      <c r="F10" s="25">
        <f>SUM(F5:F9)</f>
        <v>79535.429999999993</v>
      </c>
      <c r="G10" s="25">
        <f>SUM(G5:G9)</f>
        <v>79535.429999999993</v>
      </c>
      <c r="H10" s="25">
        <f>SUM(H5:H9)</f>
        <v>1042797.86</v>
      </c>
      <c r="I10" s="23"/>
      <c r="J10" s="23"/>
    </row>
    <row r="11" spans="1:10" ht="21" x14ac:dyDescent="0.5">
      <c r="A11" s="33" t="s">
        <v>17</v>
      </c>
      <c r="B11" s="34"/>
      <c r="C11" s="34"/>
      <c r="D11" s="34"/>
      <c r="E11" s="34"/>
      <c r="F11" s="34"/>
      <c r="G11" s="34"/>
      <c r="H11" s="34"/>
      <c r="I11" s="34"/>
      <c r="J11" s="35"/>
    </row>
    <row r="12" spans="1:10" x14ac:dyDescent="0.35">
      <c r="A12" s="24" t="s">
        <v>2</v>
      </c>
      <c r="B12" s="24" t="s">
        <v>3</v>
      </c>
      <c r="C12" s="24" t="s">
        <v>18</v>
      </c>
      <c r="D12" s="24" t="s">
        <v>5</v>
      </c>
      <c r="E12" s="24" t="s">
        <v>19</v>
      </c>
      <c r="F12" s="24" t="s">
        <v>7</v>
      </c>
      <c r="G12" s="24" t="s">
        <v>8</v>
      </c>
      <c r="H12" s="24" t="s">
        <v>9</v>
      </c>
      <c r="I12" s="24" t="s">
        <v>20</v>
      </c>
      <c r="J12" s="24" t="s">
        <v>21</v>
      </c>
    </row>
    <row r="13" spans="1:10" x14ac:dyDescent="0.35">
      <c r="A13" s="5" t="s">
        <v>22</v>
      </c>
      <c r="B13" s="5" t="s">
        <v>23</v>
      </c>
      <c r="C13" s="5" t="s">
        <v>24</v>
      </c>
      <c r="D13" s="6">
        <v>847</v>
      </c>
      <c r="E13" s="6">
        <v>0</v>
      </c>
      <c r="F13" s="6">
        <v>76.23</v>
      </c>
      <c r="G13" s="7">
        <f>F13</f>
        <v>76.23</v>
      </c>
      <c r="H13" s="8">
        <f t="shared" ref="H13:H39" si="3">D13+E13+F13+G13</f>
        <v>999.46</v>
      </c>
      <c r="I13" s="26"/>
      <c r="J13" s="9" t="s">
        <v>25</v>
      </c>
    </row>
    <row r="14" spans="1:10" x14ac:dyDescent="0.35">
      <c r="A14" s="5" t="s">
        <v>26</v>
      </c>
      <c r="B14" s="5" t="s">
        <v>27</v>
      </c>
      <c r="C14" s="5" t="s">
        <v>28</v>
      </c>
      <c r="D14" s="6">
        <v>469.15</v>
      </c>
      <c r="E14" s="6">
        <v>0</v>
      </c>
      <c r="F14" s="6">
        <v>42.22</v>
      </c>
      <c r="G14" s="7">
        <f t="shared" ref="G14:G39" si="4">F14</f>
        <v>42.22</v>
      </c>
      <c r="H14" s="8">
        <f t="shared" si="3"/>
        <v>553.59</v>
      </c>
      <c r="I14" s="26"/>
      <c r="J14" s="9" t="s">
        <v>29</v>
      </c>
    </row>
    <row r="15" spans="1:10" x14ac:dyDescent="0.35">
      <c r="A15" s="5" t="s">
        <v>30</v>
      </c>
      <c r="B15" s="5" t="s">
        <v>31</v>
      </c>
      <c r="C15" s="5" t="s">
        <v>32</v>
      </c>
      <c r="D15" s="6">
        <v>2780</v>
      </c>
      <c r="E15" s="6">
        <v>139</v>
      </c>
      <c r="F15" s="6">
        <v>0</v>
      </c>
      <c r="G15" s="7">
        <f t="shared" si="4"/>
        <v>0</v>
      </c>
      <c r="H15" s="8">
        <f t="shared" si="3"/>
        <v>2919</v>
      </c>
      <c r="I15" s="26"/>
      <c r="J15" s="9" t="s">
        <v>33</v>
      </c>
    </row>
    <row r="16" spans="1:10" x14ac:dyDescent="0.35">
      <c r="A16" s="5" t="s">
        <v>34</v>
      </c>
      <c r="B16" s="5" t="s">
        <v>35</v>
      </c>
      <c r="C16" s="5" t="s">
        <v>36</v>
      </c>
      <c r="D16" s="6">
        <v>1580</v>
      </c>
      <c r="E16" s="6">
        <v>0</v>
      </c>
      <c r="F16" s="6">
        <v>142.19999999999999</v>
      </c>
      <c r="G16" s="7">
        <f t="shared" si="4"/>
        <v>142.19999999999999</v>
      </c>
      <c r="H16" s="8">
        <f t="shared" si="3"/>
        <v>1864.4</v>
      </c>
      <c r="I16" s="26"/>
      <c r="J16" s="9" t="s">
        <v>37</v>
      </c>
    </row>
    <row r="17" spans="1:10" x14ac:dyDescent="0.35">
      <c r="A17" s="5" t="s">
        <v>38</v>
      </c>
      <c r="B17" s="5" t="s">
        <v>39</v>
      </c>
      <c r="C17" s="5" t="s">
        <v>40</v>
      </c>
      <c r="D17" s="6">
        <v>500</v>
      </c>
      <c r="E17" s="6">
        <v>0</v>
      </c>
      <c r="F17" s="6">
        <v>45</v>
      </c>
      <c r="G17" s="7">
        <f t="shared" si="4"/>
        <v>45</v>
      </c>
      <c r="H17" s="8">
        <f t="shared" si="3"/>
        <v>590</v>
      </c>
      <c r="I17" s="26"/>
      <c r="J17" s="9" t="s">
        <v>41</v>
      </c>
    </row>
    <row r="18" spans="1:10" x14ac:dyDescent="0.35">
      <c r="A18" s="5" t="s">
        <v>42</v>
      </c>
      <c r="B18" s="5" t="s">
        <v>39</v>
      </c>
      <c r="C18" s="5" t="s">
        <v>43</v>
      </c>
      <c r="D18" s="6">
        <v>769.48</v>
      </c>
      <c r="E18" s="6">
        <v>0</v>
      </c>
      <c r="F18" s="6">
        <v>69.260000000000005</v>
      </c>
      <c r="G18" s="7">
        <f t="shared" si="4"/>
        <v>69.260000000000005</v>
      </c>
      <c r="H18" s="8">
        <f t="shared" si="3"/>
        <v>908</v>
      </c>
      <c r="I18" s="26"/>
      <c r="J18" s="9" t="s">
        <v>41</v>
      </c>
    </row>
    <row r="19" spans="1:10" x14ac:dyDescent="0.35">
      <c r="A19" s="5" t="s">
        <v>44</v>
      </c>
      <c r="B19" s="5" t="s">
        <v>45</v>
      </c>
      <c r="C19" s="5" t="s">
        <v>46</v>
      </c>
      <c r="D19" s="6">
        <v>18593.759999999998</v>
      </c>
      <c r="E19" s="6">
        <v>0</v>
      </c>
      <c r="F19" s="6">
        <v>2603.13</v>
      </c>
      <c r="G19" s="7">
        <f t="shared" si="4"/>
        <v>2603.13</v>
      </c>
      <c r="H19" s="8">
        <f t="shared" si="3"/>
        <v>23800.02</v>
      </c>
      <c r="I19" s="26"/>
      <c r="J19" s="9" t="s">
        <v>47</v>
      </c>
    </row>
    <row r="20" spans="1:10" x14ac:dyDescent="0.35">
      <c r="A20" s="5" t="s">
        <v>48</v>
      </c>
      <c r="B20" s="5" t="s">
        <v>49</v>
      </c>
      <c r="C20" s="5" t="s">
        <v>50</v>
      </c>
      <c r="D20" s="6">
        <v>3259</v>
      </c>
      <c r="E20" s="6">
        <v>0</v>
      </c>
      <c r="F20" s="6">
        <v>195.55</v>
      </c>
      <c r="G20" s="7">
        <f t="shared" si="4"/>
        <v>195.55</v>
      </c>
      <c r="H20" s="8">
        <f t="shared" si="3"/>
        <v>3650.1000000000004</v>
      </c>
      <c r="I20" s="26"/>
      <c r="J20" s="9" t="s">
        <v>51</v>
      </c>
    </row>
    <row r="21" spans="1:10" x14ac:dyDescent="0.35">
      <c r="A21" s="5" t="s">
        <v>26</v>
      </c>
      <c r="B21" s="5" t="s">
        <v>52</v>
      </c>
      <c r="C21" s="5" t="s">
        <v>53</v>
      </c>
      <c r="D21" s="6">
        <v>4560</v>
      </c>
      <c r="E21" s="6">
        <v>0</v>
      </c>
      <c r="F21" s="6">
        <v>410.4</v>
      </c>
      <c r="G21" s="7">
        <f t="shared" si="4"/>
        <v>410.4</v>
      </c>
      <c r="H21" s="8">
        <f t="shared" si="3"/>
        <v>5380.7999999999993</v>
      </c>
      <c r="I21" s="26"/>
      <c r="J21" s="9" t="s">
        <v>54</v>
      </c>
    </row>
    <row r="22" spans="1:10" x14ac:dyDescent="0.35">
      <c r="A22" s="5" t="s">
        <v>55</v>
      </c>
      <c r="B22" s="5" t="s">
        <v>52</v>
      </c>
      <c r="C22" s="5" t="s">
        <v>56</v>
      </c>
      <c r="D22" s="6">
        <v>3500</v>
      </c>
      <c r="E22" s="6">
        <v>0</v>
      </c>
      <c r="F22" s="6">
        <v>315</v>
      </c>
      <c r="G22" s="7">
        <f t="shared" si="4"/>
        <v>315</v>
      </c>
      <c r="H22" s="8">
        <f t="shared" si="3"/>
        <v>4130</v>
      </c>
      <c r="I22" s="26"/>
      <c r="J22" s="9" t="s">
        <v>54</v>
      </c>
    </row>
    <row r="23" spans="1:10" x14ac:dyDescent="0.35">
      <c r="A23" s="5" t="s">
        <v>26</v>
      </c>
      <c r="B23" s="5" t="s">
        <v>57</v>
      </c>
      <c r="C23" s="5" t="s">
        <v>58</v>
      </c>
      <c r="D23" s="6">
        <v>830.5</v>
      </c>
      <c r="E23" s="6">
        <v>0</v>
      </c>
      <c r="F23" s="6">
        <v>74.75</v>
      </c>
      <c r="G23" s="7">
        <f t="shared" si="4"/>
        <v>74.75</v>
      </c>
      <c r="H23" s="8">
        <f t="shared" si="3"/>
        <v>980</v>
      </c>
      <c r="I23" s="26"/>
      <c r="J23" s="9" t="s">
        <v>59</v>
      </c>
    </row>
    <row r="24" spans="1:10" x14ac:dyDescent="0.35">
      <c r="A24" s="5" t="s">
        <v>26</v>
      </c>
      <c r="B24" s="5" t="s">
        <v>57</v>
      </c>
      <c r="C24" s="5" t="s">
        <v>60</v>
      </c>
      <c r="D24" s="6">
        <v>1703.35</v>
      </c>
      <c r="E24" s="6">
        <v>0</v>
      </c>
      <c r="F24" s="6">
        <v>153.31</v>
      </c>
      <c r="G24" s="7">
        <f t="shared" si="4"/>
        <v>153.31</v>
      </c>
      <c r="H24" s="8">
        <f t="shared" si="3"/>
        <v>2009.9699999999998</v>
      </c>
      <c r="I24" s="26"/>
      <c r="J24" s="9" t="s">
        <v>59</v>
      </c>
    </row>
    <row r="25" spans="1:10" x14ac:dyDescent="0.35">
      <c r="A25" s="5" t="s">
        <v>34</v>
      </c>
      <c r="B25" s="5" t="s">
        <v>61</v>
      </c>
      <c r="C25" s="5" t="s">
        <v>62</v>
      </c>
      <c r="D25" s="6">
        <v>1072.5</v>
      </c>
      <c r="E25" s="6">
        <v>0</v>
      </c>
      <c r="F25" s="6">
        <v>96.53</v>
      </c>
      <c r="G25" s="7">
        <f t="shared" si="4"/>
        <v>96.53</v>
      </c>
      <c r="H25" s="8">
        <f t="shared" si="3"/>
        <v>1265.56</v>
      </c>
      <c r="I25" s="26"/>
      <c r="J25" s="9" t="s">
        <v>63</v>
      </c>
    </row>
    <row r="26" spans="1:10" x14ac:dyDescent="0.35">
      <c r="A26" s="5" t="s">
        <v>30</v>
      </c>
      <c r="B26" s="5" t="s">
        <v>61</v>
      </c>
      <c r="C26" s="5" t="s">
        <v>64</v>
      </c>
      <c r="D26" s="6">
        <v>1137.5</v>
      </c>
      <c r="E26" s="6">
        <v>0</v>
      </c>
      <c r="F26" s="6">
        <v>102.38</v>
      </c>
      <c r="G26" s="7">
        <f t="shared" si="4"/>
        <v>102.38</v>
      </c>
      <c r="H26" s="8">
        <f t="shared" si="3"/>
        <v>1342.2600000000002</v>
      </c>
      <c r="I26" s="26"/>
      <c r="J26" s="9" t="s">
        <v>63</v>
      </c>
    </row>
    <row r="27" spans="1:10" x14ac:dyDescent="0.35">
      <c r="A27" s="5" t="s">
        <v>65</v>
      </c>
      <c r="B27" s="5" t="s">
        <v>45</v>
      </c>
      <c r="C27" s="5" t="s">
        <v>66</v>
      </c>
      <c r="D27" s="6">
        <v>10000</v>
      </c>
      <c r="E27" s="6">
        <v>0</v>
      </c>
      <c r="F27" s="6">
        <v>1400</v>
      </c>
      <c r="G27" s="7">
        <f t="shared" si="4"/>
        <v>1400</v>
      </c>
      <c r="H27" s="8">
        <f t="shared" si="3"/>
        <v>12800</v>
      </c>
      <c r="I27" s="26"/>
      <c r="J27" s="9" t="s">
        <v>47</v>
      </c>
    </row>
    <row r="28" spans="1:10" x14ac:dyDescent="0.35">
      <c r="A28" s="5" t="s">
        <v>67</v>
      </c>
      <c r="B28" s="5" t="s">
        <v>68</v>
      </c>
      <c r="C28" s="5" t="s">
        <v>69</v>
      </c>
      <c r="D28" s="6">
        <v>114600</v>
      </c>
      <c r="E28" s="6">
        <v>20628</v>
      </c>
      <c r="F28" s="6">
        <v>0</v>
      </c>
      <c r="G28" s="7">
        <f t="shared" si="4"/>
        <v>0</v>
      </c>
      <c r="H28" s="8">
        <f t="shared" si="3"/>
        <v>135228</v>
      </c>
      <c r="I28" s="26"/>
      <c r="J28" s="9" t="s">
        <v>70</v>
      </c>
    </row>
    <row r="29" spans="1:10" x14ac:dyDescent="0.35">
      <c r="A29" s="5" t="s">
        <v>42</v>
      </c>
      <c r="B29" s="5" t="s">
        <v>68</v>
      </c>
      <c r="C29" s="5" t="s">
        <v>71</v>
      </c>
      <c r="D29" s="6">
        <v>48600</v>
      </c>
      <c r="E29" s="6">
        <v>8748</v>
      </c>
      <c r="F29" s="6">
        <v>0</v>
      </c>
      <c r="G29" s="7">
        <f t="shared" si="4"/>
        <v>0</v>
      </c>
      <c r="H29" s="8">
        <f t="shared" si="3"/>
        <v>57348</v>
      </c>
      <c r="I29" s="26"/>
      <c r="J29" s="9" t="s">
        <v>70</v>
      </c>
    </row>
    <row r="30" spans="1:10" x14ac:dyDescent="0.35">
      <c r="A30" s="5" t="s">
        <v>72</v>
      </c>
      <c r="B30" s="5" t="s">
        <v>68</v>
      </c>
      <c r="C30" s="5" t="s">
        <v>73</v>
      </c>
      <c r="D30" s="6">
        <v>28850</v>
      </c>
      <c r="E30" s="6">
        <v>5193</v>
      </c>
      <c r="F30" s="6">
        <v>0</v>
      </c>
      <c r="G30" s="7">
        <f t="shared" si="4"/>
        <v>0</v>
      </c>
      <c r="H30" s="8">
        <f t="shared" si="3"/>
        <v>34043</v>
      </c>
      <c r="I30" s="26"/>
      <c r="J30" s="9" t="s">
        <v>70</v>
      </c>
    </row>
    <row r="31" spans="1:10" x14ac:dyDescent="0.35">
      <c r="A31" s="5" t="s">
        <v>74</v>
      </c>
      <c r="B31" s="5" t="s">
        <v>68</v>
      </c>
      <c r="C31" s="5" t="s">
        <v>75</v>
      </c>
      <c r="D31" s="6">
        <v>60000</v>
      </c>
      <c r="E31" s="6">
        <v>10800</v>
      </c>
      <c r="F31" s="6">
        <v>0</v>
      </c>
      <c r="G31" s="7">
        <f t="shared" si="4"/>
        <v>0</v>
      </c>
      <c r="H31" s="8">
        <f t="shared" si="3"/>
        <v>70800</v>
      </c>
      <c r="I31" s="26"/>
      <c r="J31" s="9" t="s">
        <v>70</v>
      </c>
    </row>
    <row r="32" spans="1:10" x14ac:dyDescent="0.35">
      <c r="A32" s="5" t="s">
        <v>44</v>
      </c>
      <c r="B32" s="5" t="s">
        <v>76</v>
      </c>
      <c r="C32" s="5" t="s">
        <v>77</v>
      </c>
      <c r="D32" s="6">
        <v>364407</v>
      </c>
      <c r="E32" s="6">
        <v>65593.259999999995</v>
      </c>
      <c r="F32" s="6">
        <v>0</v>
      </c>
      <c r="G32" s="7">
        <f t="shared" si="4"/>
        <v>0</v>
      </c>
      <c r="H32" s="8">
        <f t="shared" si="3"/>
        <v>430000.26</v>
      </c>
      <c r="I32" s="26"/>
      <c r="J32" s="9" t="s">
        <v>78</v>
      </c>
    </row>
    <row r="33" spans="1:10" x14ac:dyDescent="0.35">
      <c r="A33" s="5" t="s">
        <v>79</v>
      </c>
      <c r="B33" s="5" t="s">
        <v>80</v>
      </c>
      <c r="C33" s="5" t="s">
        <v>81</v>
      </c>
      <c r="D33" s="6">
        <v>108813.6</v>
      </c>
      <c r="E33" s="6">
        <v>0</v>
      </c>
      <c r="F33" s="6">
        <v>9793.2199999999993</v>
      </c>
      <c r="G33" s="7">
        <f t="shared" si="4"/>
        <v>9793.2199999999993</v>
      </c>
      <c r="H33" s="8">
        <f t="shared" si="3"/>
        <v>128400.04000000001</v>
      </c>
      <c r="I33" s="26"/>
      <c r="J33" s="9" t="s">
        <v>82</v>
      </c>
    </row>
    <row r="34" spans="1:10" x14ac:dyDescent="0.35">
      <c r="A34" s="5" t="s">
        <v>83</v>
      </c>
      <c r="B34" s="5" t="s">
        <v>80</v>
      </c>
      <c r="C34" s="5" t="s">
        <v>84</v>
      </c>
      <c r="D34" s="6">
        <v>27203.4</v>
      </c>
      <c r="E34" s="6">
        <v>0</v>
      </c>
      <c r="F34" s="6">
        <v>2448.31</v>
      </c>
      <c r="G34" s="7">
        <f t="shared" si="4"/>
        <v>2448.31</v>
      </c>
      <c r="H34" s="8">
        <f t="shared" si="3"/>
        <v>32100.020000000004</v>
      </c>
      <c r="I34" s="26"/>
      <c r="J34" s="9" t="s">
        <v>82</v>
      </c>
    </row>
    <row r="35" spans="1:10" x14ac:dyDescent="0.35">
      <c r="A35" s="5" t="s">
        <v>85</v>
      </c>
      <c r="B35" s="5" t="s">
        <v>86</v>
      </c>
      <c r="C35" s="5" t="s">
        <v>87</v>
      </c>
      <c r="D35" s="6">
        <v>3277.04</v>
      </c>
      <c r="E35" s="6">
        <v>0</v>
      </c>
      <c r="F35" s="6">
        <v>294.93</v>
      </c>
      <c r="G35" s="7">
        <f t="shared" si="4"/>
        <v>294.93</v>
      </c>
      <c r="H35" s="8">
        <f t="shared" si="3"/>
        <v>3866.8999999999996</v>
      </c>
      <c r="I35" s="26"/>
      <c r="J35" s="9" t="s">
        <v>88</v>
      </c>
    </row>
    <row r="36" spans="1:10" x14ac:dyDescent="0.35">
      <c r="A36" s="5" t="s">
        <v>26</v>
      </c>
      <c r="B36" s="5" t="s">
        <v>89</v>
      </c>
      <c r="C36" s="5" t="s">
        <v>90</v>
      </c>
      <c r="D36" s="6">
        <v>283250</v>
      </c>
      <c r="E36" s="6">
        <v>50985</v>
      </c>
      <c r="F36" s="6">
        <v>0</v>
      </c>
      <c r="G36" s="7">
        <f t="shared" si="4"/>
        <v>0</v>
      </c>
      <c r="H36" s="8">
        <f t="shared" si="3"/>
        <v>334235</v>
      </c>
      <c r="I36" s="26"/>
      <c r="J36" s="9" t="s">
        <v>91</v>
      </c>
    </row>
    <row r="37" spans="1:10" x14ac:dyDescent="0.35">
      <c r="A37" s="5" t="s">
        <v>92</v>
      </c>
      <c r="B37" s="5" t="s">
        <v>93</v>
      </c>
      <c r="C37" s="5" t="s">
        <v>94</v>
      </c>
      <c r="D37" s="6">
        <v>795.33</v>
      </c>
      <c r="E37" s="6">
        <v>39.770000000000003</v>
      </c>
      <c r="F37" s="6">
        <v>0</v>
      </c>
      <c r="G37" s="7">
        <f t="shared" si="4"/>
        <v>0</v>
      </c>
      <c r="H37" s="8">
        <f t="shared" si="3"/>
        <v>835.1</v>
      </c>
      <c r="I37" s="26"/>
      <c r="J37" s="9" t="s">
        <v>95</v>
      </c>
    </row>
    <row r="38" spans="1:10" x14ac:dyDescent="0.35">
      <c r="A38" s="5" t="s">
        <v>96</v>
      </c>
      <c r="B38" s="5" t="s">
        <v>97</v>
      </c>
      <c r="C38" s="5" t="s">
        <v>98</v>
      </c>
      <c r="D38" s="6">
        <v>28700</v>
      </c>
      <c r="E38" s="6">
        <v>5166</v>
      </c>
      <c r="F38" s="6">
        <v>0</v>
      </c>
      <c r="G38" s="7">
        <f t="shared" si="4"/>
        <v>0</v>
      </c>
      <c r="H38" s="8">
        <f t="shared" si="3"/>
        <v>33866</v>
      </c>
      <c r="I38" s="26"/>
      <c r="J38" s="9" t="s">
        <v>99</v>
      </c>
    </row>
    <row r="39" spans="1:10" ht="15" thickBot="1" x14ac:dyDescent="0.4">
      <c r="A39" s="10" t="s">
        <v>100</v>
      </c>
      <c r="B39" s="10" t="s">
        <v>101</v>
      </c>
      <c r="C39" s="10" t="s">
        <v>102</v>
      </c>
      <c r="D39" s="11">
        <v>29000</v>
      </c>
      <c r="E39" s="11">
        <v>5220</v>
      </c>
      <c r="F39" s="11">
        <v>0</v>
      </c>
      <c r="G39" s="12">
        <f t="shared" si="4"/>
        <v>0</v>
      </c>
      <c r="H39" s="13">
        <f t="shared" si="3"/>
        <v>34220</v>
      </c>
      <c r="I39" s="26"/>
      <c r="J39" s="9" t="s">
        <v>103</v>
      </c>
    </row>
    <row r="40" spans="1:10" ht="21.5" thickBot="1" x14ac:dyDescent="0.4">
      <c r="A40" s="14"/>
      <c r="B40" s="15"/>
      <c r="C40" s="16"/>
      <c r="D40" s="17">
        <f>SUM(D13:D39)</f>
        <v>1149098.6100000001</v>
      </c>
      <c r="E40" s="18">
        <f t="shared" ref="E40:H40" si="5">SUM(E13:E39)</f>
        <v>172512.03</v>
      </c>
      <c r="F40" s="18">
        <f t="shared" si="5"/>
        <v>18262.420000000002</v>
      </c>
      <c r="G40" s="18">
        <f t="shared" si="5"/>
        <v>18262.420000000002</v>
      </c>
      <c r="H40" s="19">
        <f t="shared" si="5"/>
        <v>1358135.4800000002</v>
      </c>
      <c r="I40" s="20"/>
      <c r="J40" s="21"/>
    </row>
    <row r="41" spans="1:10" x14ac:dyDescent="0.35">
      <c r="A41" s="27"/>
      <c r="B41" s="27"/>
      <c r="C41" s="27"/>
      <c r="D41" s="22"/>
      <c r="E41" s="22"/>
      <c r="F41" s="22"/>
      <c r="G41" s="22"/>
      <c r="H41" s="22">
        <f t="shared" ref="H41" si="6">D41+F41+G41+E41</f>
        <v>0</v>
      </c>
      <c r="I41" s="26"/>
      <c r="J41" s="26"/>
    </row>
  </sheetData>
  <mergeCells count="4">
    <mergeCell ref="A2:J2"/>
    <mergeCell ref="A3:H3"/>
    <mergeCell ref="A10:C10"/>
    <mergeCell ref="A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60F9-1279-45B7-BB70-9DC6211FB64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2024-10-19T10:59:28Z</dcterms:created>
  <dcterms:modified xsi:type="dcterms:W3CDTF">2025-05-17T06:59:25Z</dcterms:modified>
</cp:coreProperties>
</file>