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JP TECHATRONICS 2022-2023\2025-2026\GST\"/>
    </mc:Choice>
  </mc:AlternateContent>
  <xr:revisionPtr revIDLastSave="0" documentId="13_ncr:1_{3474AA47-D713-4EC2-8144-83D94557D24D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GSTINO." sheetId="5" r:id="rId1"/>
    <sheet name="Apr-25 to Jun-25" sheetId="1" r:id="rId2"/>
    <sheet name="Jul-25 to Sept-25" sheetId="2" r:id="rId3"/>
    <sheet name="Oct-25 to Dec-25" sheetId="3" r:id="rId4"/>
    <sheet name="Debit Note" sheetId="6" r:id="rId5"/>
    <sheet name="Jan-26 to Mar-26" sheetId="4" r:id="rId6"/>
    <sheet name="Sheet1" sheetId="7" r:id="rId7"/>
  </sheets>
  <definedNames>
    <definedName name="_xlnm._FilterDatabase" localSheetId="3" hidden="1">'Oct-25 to Dec-25'!$A$117:$H$144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2" l="1"/>
  <c r="H47" i="2" s="1"/>
  <c r="E46" i="2"/>
  <c r="H46" i="2" s="1"/>
  <c r="D21" i="2"/>
  <c r="E21" i="2" s="1"/>
  <c r="D22" i="2"/>
  <c r="E22" i="2" s="1"/>
  <c r="H22" i="2" s="1"/>
  <c r="H23" i="2"/>
  <c r="E23" i="2"/>
  <c r="F38" i="2"/>
  <c r="G38" i="2" s="1"/>
  <c r="H38" i="2" s="1"/>
  <c r="F39" i="2"/>
  <c r="G39" i="2" s="1"/>
  <c r="F37" i="2"/>
  <c r="E20" i="2"/>
  <c r="H20" i="2" s="1"/>
  <c r="D19" i="2"/>
  <c r="E19" i="2" s="1"/>
  <c r="H19" i="2" s="1"/>
  <c r="E18" i="2"/>
  <c r="H18" i="2" s="1"/>
  <c r="D17" i="2"/>
  <c r="H84" i="4"/>
  <c r="G84" i="4"/>
  <c r="F84" i="4"/>
  <c r="E84" i="4"/>
  <c r="D84" i="4"/>
  <c r="H83" i="4"/>
  <c r="G83" i="4"/>
  <c r="F83" i="4"/>
  <c r="H82" i="4"/>
  <c r="G82" i="4"/>
  <c r="F82" i="4"/>
  <c r="I73" i="4"/>
  <c r="H73" i="4"/>
  <c r="G73" i="4"/>
  <c r="F73" i="4"/>
  <c r="E73" i="4"/>
  <c r="D73" i="4"/>
  <c r="H72" i="4"/>
  <c r="G72" i="4"/>
  <c r="F72" i="4"/>
  <c r="E72" i="4"/>
  <c r="D72" i="4"/>
  <c r="H49" i="4"/>
  <c r="G49" i="4"/>
  <c r="F49" i="4"/>
  <c r="E49" i="4"/>
  <c r="D49" i="4"/>
  <c r="H40" i="4"/>
  <c r="G40" i="4"/>
  <c r="F40" i="4"/>
  <c r="E40" i="4"/>
  <c r="D40" i="4"/>
  <c r="G39" i="4"/>
  <c r="E39" i="4"/>
  <c r="D39" i="4"/>
  <c r="H38" i="4"/>
  <c r="G38" i="4"/>
  <c r="F38" i="4"/>
  <c r="E38" i="4"/>
  <c r="D38" i="4"/>
  <c r="H10" i="4"/>
  <c r="G10" i="4"/>
  <c r="F10" i="4"/>
  <c r="E10" i="4"/>
  <c r="D10" i="4"/>
  <c r="H6" i="6"/>
  <c r="E6" i="6"/>
  <c r="D6" i="6"/>
  <c r="H5" i="6"/>
  <c r="E5" i="6"/>
  <c r="H3" i="6"/>
  <c r="F150" i="3"/>
  <c r="E150" i="3"/>
  <c r="E149" i="3"/>
  <c r="E148" i="3"/>
  <c r="H146" i="3"/>
  <c r="G146" i="3"/>
  <c r="F146" i="3"/>
  <c r="E146" i="3"/>
  <c r="D146" i="3"/>
  <c r="H144" i="3"/>
  <c r="G144" i="3"/>
  <c r="F144" i="3"/>
  <c r="E144" i="3"/>
  <c r="D144" i="3"/>
  <c r="H115" i="3"/>
  <c r="G115" i="3"/>
  <c r="F115" i="3"/>
  <c r="E115" i="3"/>
  <c r="D115" i="3"/>
  <c r="H108" i="3"/>
  <c r="G108" i="3"/>
  <c r="F108" i="3"/>
  <c r="E108" i="3"/>
  <c r="D108" i="3"/>
  <c r="H67" i="3"/>
  <c r="G67" i="3"/>
  <c r="F67" i="3"/>
  <c r="E67" i="3"/>
  <c r="D67" i="3"/>
  <c r="H52" i="3"/>
  <c r="G52" i="3"/>
  <c r="F52" i="3"/>
  <c r="E52" i="3"/>
  <c r="D52" i="3"/>
  <c r="F51" i="3"/>
  <c r="J50" i="3"/>
  <c r="I50" i="3"/>
  <c r="H50" i="3"/>
  <c r="G50" i="3"/>
  <c r="F50" i="3"/>
  <c r="E50" i="3"/>
  <c r="D50" i="3"/>
  <c r="H13" i="3"/>
  <c r="G13" i="3"/>
  <c r="F13" i="3"/>
  <c r="E13" i="3"/>
  <c r="D13" i="3"/>
  <c r="H91" i="2"/>
  <c r="G91" i="2"/>
  <c r="F91" i="2"/>
  <c r="E91" i="2"/>
  <c r="D91" i="2"/>
  <c r="E69" i="2"/>
  <c r="D69" i="2"/>
  <c r="F68" i="2"/>
  <c r="G67" i="2"/>
  <c r="F67" i="2"/>
  <c r="G59" i="2"/>
  <c r="F59" i="2"/>
  <c r="D59" i="2"/>
  <c r="H58" i="2"/>
  <c r="H57" i="2"/>
  <c r="H56" i="2"/>
  <c r="H55" i="2"/>
  <c r="E43" i="2"/>
  <c r="D43" i="2"/>
  <c r="H42" i="2"/>
  <c r="H41" i="2"/>
  <c r="H31" i="2"/>
  <c r="H30" i="2"/>
  <c r="H29" i="2"/>
  <c r="H28" i="2"/>
  <c r="H27" i="2"/>
  <c r="F25" i="2"/>
  <c r="D25" i="2"/>
  <c r="H15" i="2"/>
  <c r="F14" i="2"/>
  <c r="E11" i="2"/>
  <c r="D11" i="2"/>
  <c r="H10" i="2"/>
  <c r="H9" i="2"/>
  <c r="H8" i="2"/>
  <c r="H7" i="2"/>
  <c r="F6" i="2"/>
  <c r="F5" i="2"/>
  <c r="H115" i="1"/>
  <c r="H112" i="1"/>
  <c r="G108" i="1"/>
  <c r="F108" i="1"/>
  <c r="H107" i="1"/>
  <c r="H104" i="1"/>
  <c r="G104" i="1"/>
  <c r="F104" i="1"/>
  <c r="E104" i="1"/>
  <c r="D104" i="1"/>
  <c r="H101" i="1"/>
  <c r="H100" i="1"/>
  <c r="H99" i="1"/>
  <c r="H98" i="1"/>
  <c r="H97" i="1"/>
  <c r="H96" i="1"/>
  <c r="H95" i="1"/>
  <c r="H94" i="1"/>
  <c r="H93" i="1"/>
  <c r="H92" i="1"/>
  <c r="H90" i="1"/>
  <c r="H89" i="1"/>
  <c r="H85" i="1"/>
  <c r="G85" i="1"/>
  <c r="F85" i="1"/>
  <c r="E85" i="1"/>
  <c r="D85" i="1"/>
  <c r="H83" i="1"/>
  <c r="G83" i="1"/>
  <c r="F83" i="1"/>
  <c r="H82" i="1"/>
  <c r="G82" i="1"/>
  <c r="F82" i="1"/>
  <c r="H81" i="1"/>
  <c r="G81" i="1"/>
  <c r="F81" i="1"/>
  <c r="H80" i="1"/>
  <c r="G80" i="1"/>
  <c r="F80" i="1"/>
  <c r="H75" i="1"/>
  <c r="G75" i="1"/>
  <c r="F75" i="1"/>
  <c r="E75" i="1"/>
  <c r="D75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E58" i="1"/>
  <c r="H55" i="1"/>
  <c r="G55" i="1"/>
  <c r="F55" i="1"/>
  <c r="E55" i="1"/>
  <c r="D55" i="1"/>
  <c r="H53" i="1"/>
  <c r="G53" i="1"/>
  <c r="F53" i="1"/>
  <c r="H52" i="1"/>
  <c r="G52" i="1"/>
  <c r="F52" i="1"/>
  <c r="H51" i="1"/>
  <c r="G51" i="1"/>
  <c r="F51" i="1"/>
  <c r="G46" i="1"/>
  <c r="F46" i="1"/>
  <c r="E46" i="1"/>
  <c r="H45" i="1"/>
  <c r="G45" i="1"/>
  <c r="F45" i="1"/>
  <c r="E45" i="1"/>
  <c r="D45" i="1"/>
  <c r="G34" i="1"/>
  <c r="F34" i="1"/>
  <c r="E34" i="1"/>
  <c r="D34" i="1"/>
  <c r="G17" i="1"/>
  <c r="F17" i="1"/>
  <c r="G16" i="1"/>
  <c r="F16" i="1"/>
  <c r="H13" i="1"/>
  <c r="G13" i="1"/>
  <c r="F13" i="1"/>
  <c r="E13" i="1"/>
  <c r="D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E59" i="2" l="1"/>
  <c r="H21" i="2"/>
  <c r="D32" i="2"/>
  <c r="G6" i="2"/>
  <c r="H6" i="2" s="1"/>
  <c r="F11" i="2"/>
  <c r="G14" i="2"/>
  <c r="F32" i="2"/>
  <c r="G68" i="2"/>
  <c r="H68" i="2" s="1"/>
  <c r="G5" i="2"/>
  <c r="G25" i="2"/>
  <c r="H25" i="2" s="1"/>
  <c r="H59" i="2"/>
  <c r="F69" i="2"/>
  <c r="H39" i="2"/>
  <c r="F43" i="2"/>
  <c r="G37" i="2"/>
  <c r="G43" i="2" s="1"/>
  <c r="H17" i="2"/>
  <c r="H5" i="2"/>
  <c r="H67" i="2"/>
  <c r="E17" i="2"/>
  <c r="E32" i="2" s="1"/>
  <c r="H69" i="2" l="1"/>
  <c r="H37" i="2"/>
  <c r="H43" i="2" s="1"/>
  <c r="G69" i="2"/>
  <c r="H11" i="2"/>
  <c r="G11" i="2"/>
  <c r="G32" i="2"/>
  <c r="H14" i="2"/>
  <c r="H32" i="2" s="1"/>
</calcChain>
</file>

<file path=xl/sharedStrings.xml><?xml version="1.0" encoding="utf-8"?>
<sst xmlns="http://schemas.openxmlformats.org/spreadsheetml/2006/main" count="531" uniqueCount="203">
  <si>
    <t>Sr.No.</t>
  </si>
  <si>
    <t>Party</t>
  </si>
  <si>
    <t>GSTRN NO.</t>
  </si>
  <si>
    <t>Putzmeister Concrete Machines Pvt Ltd</t>
  </si>
  <si>
    <t>30AACCD2090G1Z8</t>
  </si>
  <si>
    <t>MESSUNG SYSTEMS PVT LTD</t>
  </si>
  <si>
    <t>27AABCM1832E1ZV</t>
  </si>
  <si>
    <t>M/S. VISION SAFETY INDIA</t>
  </si>
  <si>
    <t>30ABXPV0702C1ZX</t>
  </si>
  <si>
    <t>Create</t>
  </si>
  <si>
    <t>30AAWPF7103R2ZB</t>
  </si>
  <si>
    <t>APRIL</t>
  </si>
  <si>
    <t>Sales</t>
  </si>
  <si>
    <t>DATE</t>
  </si>
  <si>
    <t>Invoice No</t>
  </si>
  <si>
    <t>PARTY</t>
  </si>
  <si>
    <t>Taxable</t>
  </si>
  <si>
    <t>output IGST</t>
  </si>
  <si>
    <t>CGST</t>
  </si>
  <si>
    <t>SGST</t>
  </si>
  <si>
    <t>TOTAL INVOICE AMOUNT</t>
  </si>
  <si>
    <t>b25-26Q101</t>
  </si>
  <si>
    <t>b25-26Q102</t>
  </si>
  <si>
    <t>b25-26Q103</t>
  </si>
  <si>
    <t>b25-26Q104</t>
  </si>
  <si>
    <t>b25-26Q105</t>
  </si>
  <si>
    <t>20/04/2025</t>
  </si>
  <si>
    <t>b25-26Q106</t>
  </si>
  <si>
    <t>17/04/2025</t>
  </si>
  <si>
    <t>b25-26Q107</t>
  </si>
  <si>
    <t>23/4/25</t>
  </si>
  <si>
    <t>b25-26Q108</t>
  </si>
  <si>
    <t>TOTAL</t>
  </si>
  <si>
    <t>Purchase</t>
  </si>
  <si>
    <t>Invoice</t>
  </si>
  <si>
    <t>Input IGST</t>
  </si>
  <si>
    <t>CESS</t>
  </si>
  <si>
    <t>GST NO</t>
  </si>
  <si>
    <t>ME/2025-26/121</t>
  </si>
  <si>
    <t>Mahalaxmi Electricals</t>
  </si>
  <si>
    <t>New Goa Hardware</t>
  </si>
  <si>
    <t>25/04/2025</t>
  </si>
  <si>
    <t>AE2526027</t>
  </si>
  <si>
    <t>ARHAT ENTERPRISES</t>
  </si>
  <si>
    <t>29/04/2025</t>
  </si>
  <si>
    <t>AE2526029</t>
  </si>
  <si>
    <t>07/04/2025</t>
  </si>
  <si>
    <t>25-26/010</t>
  </si>
  <si>
    <t>NAMRATA RUBBER PRODUCT PRIVATE LIMITED</t>
  </si>
  <si>
    <t>11/04/2025</t>
  </si>
  <si>
    <t>25-26/021</t>
  </si>
  <si>
    <t>25-26/033</t>
  </si>
  <si>
    <t>24/04/2025</t>
  </si>
  <si>
    <t>25-26/044</t>
  </si>
  <si>
    <t>05/04/2025</t>
  </si>
  <si>
    <t>GSTN/25-26/03</t>
  </si>
  <si>
    <t>OMEGA BATH SOLUTION</t>
  </si>
  <si>
    <t>03/04/2025</t>
  </si>
  <si>
    <t>SLH/15</t>
  </si>
  <si>
    <t>SHREE LAXMI LIGHTING HUB</t>
  </si>
  <si>
    <t>SLH/169</t>
  </si>
  <si>
    <t>INVHBLAV72500280</t>
  </si>
  <si>
    <t>LG ELECTRONICS INDIA LIMITED</t>
  </si>
  <si>
    <t>I-C-1-25-470460</t>
  </si>
  <si>
    <t>COLLECTIVE TRADE LINKS PVT.LTD</t>
  </si>
  <si>
    <t>22/04/2025</t>
  </si>
  <si>
    <t>PAN917/25-26</t>
  </si>
  <si>
    <t>MICROCITI - TRADING</t>
  </si>
  <si>
    <t>10/04/2025</t>
  </si>
  <si>
    <t>I25-260190000018</t>
  </si>
  <si>
    <t>DIGIMRO DISTRIBUTION (INDIA) PRIVATE LIMITED</t>
  </si>
  <si>
    <t>02/04/2025</t>
  </si>
  <si>
    <t>VRC/2025-26/7</t>
  </si>
  <si>
    <t>VANTAGE RUBBER CO.</t>
  </si>
  <si>
    <t>01/04/2025</t>
  </si>
  <si>
    <t>GIGSL/202526/125</t>
  </si>
  <si>
    <t>THE GERA IMPERIUM GRAND PREMISES HOLDERS MAINTENANCE COOP SOCIETY LIMITED</t>
  </si>
  <si>
    <t>242410277522</t>
  </si>
  <si>
    <t>V TRANS, V XPRESS &amp; V LOGIS</t>
  </si>
  <si>
    <t>MAY</t>
  </si>
  <si>
    <t>M25-26Q109</t>
  </si>
  <si>
    <t>19/5/25</t>
  </si>
  <si>
    <t>M25-26Q110</t>
  </si>
  <si>
    <t>M25-26Q111</t>
  </si>
  <si>
    <t>UP-747968203</t>
  </si>
  <si>
    <t>Amazon</t>
  </si>
  <si>
    <t>09/05/2025</t>
  </si>
  <si>
    <t>PAN1450/25-26</t>
  </si>
  <si>
    <t>31/05/2025</t>
  </si>
  <si>
    <t>PNQ3-920999</t>
  </si>
  <si>
    <t>RK WORLDINFOCOM PRIVATE LIMITED</t>
  </si>
  <si>
    <t>08/05/2025</t>
  </si>
  <si>
    <t>I25-261060000616</t>
  </si>
  <si>
    <t>19/04/2025</t>
  </si>
  <si>
    <t>EXPL-447369</t>
  </si>
  <si>
    <t>ETHERNETXPRESS INDIA PRIVATE LIMITED</t>
  </si>
  <si>
    <t>10</t>
  </si>
  <si>
    <t>NEW GOA HARDWARE</t>
  </si>
  <si>
    <t>07/05/2025</t>
  </si>
  <si>
    <t>VRC/2025-26/171</t>
  </si>
  <si>
    <t>28/05/2025</t>
  </si>
  <si>
    <t>CA-1088</t>
  </si>
  <si>
    <t>KRISHNA PAINTS AND SANITARY</t>
  </si>
  <si>
    <t>15/05/2025</t>
  </si>
  <si>
    <t>25-26/081</t>
  </si>
  <si>
    <t>2881112501</t>
  </si>
  <si>
    <t>VRL LOGISTICS LIMITED.</t>
  </si>
  <si>
    <t>22/05/2025</t>
  </si>
  <si>
    <t>MD/25/26/03655</t>
  </si>
  <si>
    <t>MULRAJ DEVCHAND THAKKAR</t>
  </si>
  <si>
    <t>24/05/2025</t>
  </si>
  <si>
    <t>MD/25/26/03734</t>
  </si>
  <si>
    <t>PNJ/25-26/0234</t>
  </si>
  <si>
    <t>Hatley Sales And Services</t>
  </si>
  <si>
    <t>JUNE</t>
  </si>
  <si>
    <t>M25-26Q112</t>
  </si>
  <si>
    <t>A25-26Q113</t>
  </si>
  <si>
    <t>20/6/25</t>
  </si>
  <si>
    <t>M25-26Q114</t>
  </si>
  <si>
    <t>A25-26Q115</t>
  </si>
  <si>
    <t>08/06/2025</t>
  </si>
  <si>
    <t>FBF8726002607789</t>
  </si>
  <si>
    <t>FLIPKART INTERNET PRIVATE LIMITED</t>
  </si>
  <si>
    <t>13/06/2025</t>
  </si>
  <si>
    <t>GST/2025-26/411</t>
  </si>
  <si>
    <t>NIKHIL ASHOK SHAH (CROWN ELECTRONICS)</t>
  </si>
  <si>
    <t>04/06/2025</t>
  </si>
  <si>
    <t>I-C-1-25-471178</t>
  </si>
  <si>
    <t>11/06/2025</t>
  </si>
  <si>
    <t>PAN2743/25-26</t>
  </si>
  <si>
    <t>09/06/2025</t>
  </si>
  <si>
    <t>25-26/131</t>
  </si>
  <si>
    <t>16/06/2025</t>
  </si>
  <si>
    <t>25-26/142</t>
  </si>
  <si>
    <t>20/06/2025</t>
  </si>
  <si>
    <t>25-26/153</t>
  </si>
  <si>
    <t>23/06/2025</t>
  </si>
  <si>
    <t>25-26/165</t>
  </si>
  <si>
    <t>26/06/2025</t>
  </si>
  <si>
    <t>25-26/174</t>
  </si>
  <si>
    <t>12/06/2025</t>
  </si>
  <si>
    <t>PNJ/25-26/0440</t>
  </si>
  <si>
    <t>FAJDUN2600011938</t>
  </si>
  <si>
    <t>CONSULTING ROOMS PRIVATE LIMITED</t>
  </si>
  <si>
    <t>FAT5FO2600009927</t>
  </si>
  <si>
    <t>need to file by party</t>
  </si>
  <si>
    <t>10/06/2025</t>
  </si>
  <si>
    <t>2881114067</t>
  </si>
  <si>
    <t>Credit Note</t>
  </si>
  <si>
    <t>27/06/2025</t>
  </si>
  <si>
    <t>SLH/1012</t>
  </si>
  <si>
    <t xml:space="preserve">return </t>
  </si>
  <si>
    <t>JULY</t>
  </si>
  <si>
    <t>M25-26Q201</t>
  </si>
  <si>
    <t>A25-26Q202</t>
  </si>
  <si>
    <t>25-26/972</t>
  </si>
  <si>
    <t>Goa Electric Store</t>
  </si>
  <si>
    <t>I-C-1-25-471720</t>
  </si>
  <si>
    <t>collective Trade Links Pvt. Ltd.</t>
  </si>
  <si>
    <t>PAN3783/25-26</t>
  </si>
  <si>
    <t xml:space="preserve">Microciti </t>
  </si>
  <si>
    <t>Need to file for july month</t>
  </si>
  <si>
    <t>27/6/25</t>
  </si>
  <si>
    <t>B202502489</t>
  </si>
  <si>
    <t xml:space="preserve">Alcon hyundai </t>
  </si>
  <si>
    <t>AUGUST</t>
  </si>
  <si>
    <t>SEPTEMBER</t>
  </si>
  <si>
    <t>OCTOBER</t>
  </si>
  <si>
    <t xml:space="preserve">Input IGST </t>
  </si>
  <si>
    <t>Sales-Purchases</t>
  </si>
  <si>
    <t>NOVEMBER</t>
  </si>
  <si>
    <t>DECEMBER</t>
  </si>
  <si>
    <t>Sales - Purchase</t>
  </si>
  <si>
    <t>25/11/2024</t>
  </si>
  <si>
    <t>Namrata 301</t>
  </si>
  <si>
    <t>24-25/384</t>
  </si>
  <si>
    <t xml:space="preserve">due to missing items </t>
  </si>
  <si>
    <t xml:space="preserve">Take this For GST </t>
  </si>
  <si>
    <t>JANUARY</t>
  </si>
  <si>
    <t>FEBRUARY</t>
  </si>
  <si>
    <t>MARCH</t>
  </si>
  <si>
    <t>17/7/25</t>
  </si>
  <si>
    <t>Spraynoz Technologies pvt ltd</t>
  </si>
  <si>
    <t>26/7/25</t>
  </si>
  <si>
    <t>AE2526093</t>
  </si>
  <si>
    <t>M/s. Arhat Enterprises</t>
  </si>
  <si>
    <t>28/7/25</t>
  </si>
  <si>
    <t>25-26/237</t>
  </si>
  <si>
    <t>A25-26Q203</t>
  </si>
  <si>
    <t>M25-26Q204</t>
  </si>
  <si>
    <t>M25-26Q205</t>
  </si>
  <si>
    <t>VRC/2025-26/600</t>
  </si>
  <si>
    <t>18/7/25</t>
  </si>
  <si>
    <t>VRC/2025-26/604</t>
  </si>
  <si>
    <t>31/7/25</t>
  </si>
  <si>
    <t>I25-261060002596</t>
  </si>
  <si>
    <t>Digimro Distribution India Pvt Ltd</t>
  </si>
  <si>
    <t>25-26/260</t>
  </si>
  <si>
    <t>Namrata Rubber Product Pvt Ltd</t>
  </si>
  <si>
    <t>9.aug.25</t>
  </si>
  <si>
    <t>25-26/264</t>
  </si>
  <si>
    <t>A25-26Q206</t>
  </si>
  <si>
    <t>M25-26Q207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</si>
</sst>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409]d\-mmm\-yy;@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 tint="0.14993743705557422"/>
      <name val="Calibri  "/>
      <charset val="134"/>
    </font>
    <font>
      <sz val="12"/>
      <color theme="1" tint="0.249977111117893"/>
      <name val="Calibri  "/>
      <charset val="134"/>
    </font>
    <font>
      <b/>
      <sz val="14"/>
      <color theme="1"/>
      <name val="Calibri"/>
      <family val="2"/>
      <scheme val="minor"/>
    </font>
    <font>
      <sz val="12"/>
      <color rgb="FF2121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12" fillId="0" borderId="0"/>
  </cellStyleXfs>
  <cellXfs count="36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6" fillId="0" borderId="5" xfId="0" applyFont="1" applyBorder="1" applyAlignment="1">
      <alignment horizont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5" fillId="0" borderId="1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164" fontId="0" fillId="2" borderId="6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43" fontId="0" fillId="2" borderId="6" xfId="1" applyFont="1" applyFill="1" applyBorder="1"/>
    <xf numFmtId="0" fontId="7" fillId="0" borderId="6" xfId="0" applyFont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2" fontId="7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43" fontId="5" fillId="0" borderId="0" xfId="1" applyFont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14" fontId="0" fillId="0" borderId="6" xfId="0" applyNumberFormat="1" applyBorder="1" applyAlignment="1">
      <alignment horizontal="center"/>
    </xf>
    <xf numFmtId="0" fontId="0" fillId="0" borderId="6" xfId="0" applyFill="1" applyBorder="1"/>
    <xf numFmtId="0" fontId="0" fillId="0" borderId="6" xfId="0" applyBorder="1" applyAlignment="1">
      <alignment horizontal="center"/>
    </xf>
    <xf numFmtId="0" fontId="0" fillId="0" borderId="0" xfId="0" applyBorder="1"/>
    <xf numFmtId="2" fontId="0" fillId="0" borderId="6" xfId="0" applyNumberFormat="1" applyBorder="1"/>
    <xf numFmtId="0" fontId="5" fillId="4" borderId="11" xfId="0" applyFont="1" applyFill="1" applyBorder="1" applyAlignment="1"/>
    <xf numFmtId="0" fontId="5" fillId="4" borderId="12" xfId="0" applyFont="1" applyFill="1" applyBorder="1" applyAlignment="1"/>
    <xf numFmtId="0" fontId="5" fillId="5" borderId="11" xfId="0" applyFont="1" applyFill="1" applyBorder="1" applyAlignment="1"/>
    <xf numFmtId="0" fontId="5" fillId="5" borderId="12" xfId="0" applyFont="1" applyFill="1" applyBorder="1" applyAlignment="1"/>
    <xf numFmtId="0" fontId="6" fillId="0" borderId="12" xfId="0" applyFont="1" applyBorder="1" applyAlignment="1">
      <alignment horizontal="center" wrapText="1"/>
    </xf>
    <xf numFmtId="2" fontId="7" fillId="0" borderId="0" xfId="0" applyNumberFormat="1" applyFont="1" applyAlignment="1">
      <alignment horizontal="right"/>
    </xf>
    <xf numFmtId="0" fontId="7" fillId="3" borderId="6" xfId="0" applyFont="1" applyFill="1" applyBorder="1" applyAlignment="1">
      <alignment horizontal="left"/>
    </xf>
    <xf numFmtId="2" fontId="7" fillId="3" borderId="6" xfId="0" applyNumberFormat="1" applyFont="1" applyFill="1" applyBorder="1" applyAlignment="1">
      <alignment horizontal="right"/>
    </xf>
    <xf numFmtId="0" fontId="0" fillId="3" borderId="6" xfId="0" applyFill="1" applyBorder="1"/>
    <xf numFmtId="2" fontId="5" fillId="0" borderId="6" xfId="0" applyNumberFormat="1" applyFont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43" fontId="6" fillId="0" borderId="6" xfId="1" applyFont="1" applyBorder="1" applyAlignment="1">
      <alignment vertical="top"/>
    </xf>
    <xf numFmtId="0" fontId="0" fillId="0" borderId="12" xfId="0" applyBorder="1"/>
    <xf numFmtId="0" fontId="0" fillId="0" borderId="5" xfId="0" applyBorder="1"/>
    <xf numFmtId="2" fontId="7" fillId="3" borderId="0" xfId="0" applyNumberFormat="1" applyFont="1" applyFill="1" applyAlignment="1">
      <alignment horizontal="right"/>
    </xf>
    <xf numFmtId="2" fontId="5" fillId="0" borderId="1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5" fontId="0" fillId="3" borderId="6" xfId="0" applyNumberForma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15" fontId="0" fillId="0" borderId="6" xfId="0" applyNumberForma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2" fontId="7" fillId="0" borderId="6" xfId="0" applyNumberFormat="1" applyFont="1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6" fillId="0" borderId="6" xfId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43" fontId="5" fillId="0" borderId="3" xfId="1" applyFont="1" applyBorder="1" applyAlignment="1">
      <alignment horizontal="center" vertical="center" wrapText="1"/>
    </xf>
    <xf numFmtId="43" fontId="5" fillId="0" borderId="4" xfId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43" fontId="7" fillId="0" borderId="6" xfId="1" applyFont="1" applyBorder="1" applyAlignment="1">
      <alignment horizontal="center" vertical="center"/>
    </xf>
    <xf numFmtId="43" fontId="0" fillId="0" borderId="6" xfId="1" applyFont="1" applyFill="1" applyBorder="1" applyAlignment="1">
      <alignment horizontal="center" vertical="center"/>
    </xf>
    <xf numFmtId="43" fontId="7" fillId="3" borderId="6" xfId="1" applyFont="1" applyFill="1" applyBorder="1" applyAlignment="1">
      <alignment horizontal="center" vertical="center"/>
    </xf>
    <xf numFmtId="43" fontId="0" fillId="3" borderId="6" xfId="1" applyFon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43" fontId="7" fillId="6" borderId="6" xfId="1" applyFont="1" applyFill="1" applyBorder="1" applyAlignment="1">
      <alignment horizontal="center" vertical="center"/>
    </xf>
    <xf numFmtId="43" fontId="0" fillId="6" borderId="6" xfId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43" fontId="5" fillId="0" borderId="27" xfId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43" fontId="5" fillId="0" borderId="29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10" fillId="0" borderId="6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6" xfId="1" applyFont="1" applyBorder="1"/>
    <xf numFmtId="43" fontId="0" fillId="0" borderId="0" xfId="1" applyFont="1"/>
    <xf numFmtId="0" fontId="9" fillId="0" borderId="6" xfId="0" applyFont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/>
    </xf>
    <xf numFmtId="4" fontId="5" fillId="0" borderId="30" xfId="0" applyNumberFormat="1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2" fontId="5" fillId="0" borderId="29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15" fontId="0" fillId="7" borderId="6" xfId="0" applyNumberForma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43" fontId="0" fillId="7" borderId="6" xfId="1" applyFont="1" applyFill="1" applyBorder="1" applyAlignment="1">
      <alignment horizontal="right" vertical="center"/>
    </xf>
    <xf numFmtId="43" fontId="7" fillId="7" borderId="6" xfId="1" applyFont="1" applyFill="1" applyBorder="1" applyAlignment="1">
      <alignment horizontal="right" vertical="center"/>
    </xf>
    <xf numFmtId="15" fontId="0" fillId="7" borderId="7" xfId="0" applyNumberForma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43" fontId="0" fillId="7" borderId="1" xfId="1" applyFont="1" applyFill="1" applyBorder="1" applyAlignment="1">
      <alignment horizontal="right" vertical="center"/>
    </xf>
    <xf numFmtId="43" fontId="7" fillId="7" borderId="1" xfId="1" applyFont="1" applyFill="1" applyBorder="1" applyAlignment="1">
      <alignment horizontal="right" vertical="center"/>
    </xf>
    <xf numFmtId="43" fontId="5" fillId="0" borderId="1" xfId="1" applyFont="1" applyBorder="1" applyAlignment="1">
      <alignment horizontal="center" vertical="center" wrapText="1"/>
    </xf>
    <xf numFmtId="15" fontId="0" fillId="0" borderId="6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43" fontId="7" fillId="0" borderId="6" xfId="1" applyFont="1" applyFill="1" applyBorder="1" applyAlignment="1">
      <alignment horizontal="center" vertical="center"/>
    </xf>
    <xf numFmtId="43" fontId="0" fillId="0" borderId="6" xfId="1" applyFont="1" applyFill="1" applyBorder="1" applyAlignment="1">
      <alignment horizontal="center"/>
    </xf>
    <xf numFmtId="2" fontId="0" fillId="0" borderId="6" xfId="0" applyNumberFormat="1" applyFill="1" applyBorder="1" applyAlignment="1">
      <alignment horizontal="center" vertical="center" wrapText="1"/>
    </xf>
    <xf numFmtId="165" fontId="0" fillId="7" borderId="6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4" fontId="0" fillId="0" borderId="6" xfId="0" applyNumberFormat="1" applyBorder="1"/>
    <xf numFmtId="15" fontId="0" fillId="7" borderId="6" xfId="0" applyNumberForma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right"/>
    </xf>
    <xf numFmtId="14" fontId="8" fillId="0" borderId="6" xfId="0" applyNumberFormat="1" applyFont="1" applyBorder="1" applyAlignment="1">
      <alignment horizontal="center"/>
    </xf>
    <xf numFmtId="43" fontId="0" fillId="0" borderId="31" xfId="1" applyFont="1" applyBorder="1" applyAlignment="1">
      <alignment vertical="top"/>
    </xf>
    <xf numFmtId="43" fontId="0" fillId="0" borderId="5" xfId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right"/>
    </xf>
    <xf numFmtId="0" fontId="0" fillId="7" borderId="0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5" borderId="11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43" fontId="5" fillId="0" borderId="6" xfId="1" applyFont="1" applyBorder="1" applyAlignment="1">
      <alignment horizontal="center" vertical="center" wrapText="1"/>
    </xf>
    <xf numFmtId="43" fontId="5" fillId="0" borderId="33" xfId="1" applyFont="1" applyBorder="1" applyAlignment="1">
      <alignment horizontal="center" vertical="center"/>
    </xf>
    <xf numFmtId="43" fontId="5" fillId="0" borderId="21" xfId="1" applyFont="1" applyBorder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43" fontId="5" fillId="0" borderId="32" xfId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right" vertical="center"/>
    </xf>
    <xf numFmtId="0" fontId="0" fillId="0" borderId="8" xfId="0" applyBorder="1"/>
    <xf numFmtId="0" fontId="0" fillId="0" borderId="0" xfId="0" applyAlignment="1">
      <alignment horizontal="center"/>
    </xf>
    <xf numFmtId="0" fontId="12" fillId="0" borderId="6" xfId="0" applyFont="1" applyBorder="1" applyAlignment="1">
      <alignment horizontal="center"/>
    </xf>
    <xf numFmtId="43" fontId="8" fillId="0" borderId="6" xfId="1" applyFont="1" applyBorder="1" applyAlignment="1"/>
    <xf numFmtId="43" fontId="5" fillId="0" borderId="1" xfId="0" applyNumberFormat="1" applyFont="1" applyBorder="1" applyAlignment="1">
      <alignment horizontal="center" wrapText="1"/>
    </xf>
    <xf numFmtId="164" fontId="0" fillId="0" borderId="6" xfId="0" applyNumberFormat="1" applyFill="1" applyBorder="1" applyAlignment="1">
      <alignment horizontal="center" vertical="center" wrapText="1"/>
    </xf>
    <xf numFmtId="43" fontId="9" fillId="0" borderId="6" xfId="1" applyFont="1" applyFill="1" applyBorder="1" applyAlignment="1">
      <alignment horizontal="center" wrapText="1"/>
    </xf>
    <xf numFmtId="164" fontId="13" fillId="0" borderId="6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/>
    </xf>
    <xf numFmtId="0" fontId="13" fillId="0" borderId="35" xfId="0" applyFont="1" applyBorder="1"/>
    <xf numFmtId="43" fontId="13" fillId="0" borderId="6" xfId="0" applyNumberFormat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left" vertical="center"/>
    </xf>
    <xf numFmtId="0" fontId="0" fillId="3" borderId="6" xfId="0" applyFill="1" applyBorder="1" applyAlignment="1">
      <alignment horizontal="left"/>
    </xf>
    <xf numFmtId="0" fontId="9" fillId="3" borderId="6" xfId="0" applyFont="1" applyFill="1" applyBorder="1" applyAlignment="1">
      <alignment horizontal="right" wrapText="1"/>
    </xf>
    <xf numFmtId="0" fontId="9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9" fillId="3" borderId="6" xfId="0" applyFont="1" applyFill="1" applyBorder="1" applyAlignment="1">
      <alignment horizontal="center" wrapText="1"/>
    </xf>
    <xf numFmtId="2" fontId="7" fillId="0" borderId="6" xfId="0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9" fillId="0" borderId="0" xfId="0" applyFont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9" fillId="0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6" xfId="0" applyFont="1" applyBorder="1" applyAlignment="1">
      <alignment horizontal="left" wrapText="1"/>
    </xf>
    <xf numFmtId="0" fontId="6" fillId="0" borderId="6" xfId="0" applyFont="1" applyBorder="1" applyAlignment="1">
      <alignment horizontal="right" wrapText="1"/>
    </xf>
    <xf numFmtId="14" fontId="8" fillId="0" borderId="6" xfId="0" applyNumberFormat="1" applyFont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9" fillId="0" borderId="6" xfId="0" applyFont="1" applyBorder="1" applyAlignment="1">
      <alignment horizontal="left" wrapText="1"/>
    </xf>
    <xf numFmtId="0" fontId="9" fillId="0" borderId="6" xfId="0" applyFont="1" applyBorder="1" applyAlignment="1">
      <alignment horizontal="right" wrapText="1"/>
    </xf>
    <xf numFmtId="14" fontId="8" fillId="0" borderId="10" xfId="0" applyNumberFormat="1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6" xfId="0" applyFont="1" applyBorder="1" applyAlignment="1">
      <alignment horizontal="right" wrapText="1"/>
    </xf>
    <xf numFmtId="164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9" borderId="6" xfId="0" applyFill="1" applyBorder="1" applyAlignment="1">
      <alignment horizontal="left" vertical="center" wrapText="1"/>
    </xf>
    <xf numFmtId="0" fontId="14" fillId="0" borderId="6" xfId="0" applyFont="1" applyBorder="1" applyAlignment="1">
      <alignment horizontal="right" vertical="center" wrapText="1"/>
    </xf>
    <xf numFmtId="0" fontId="7" fillId="3" borderId="0" xfId="0" applyFont="1" applyFill="1" applyAlignment="1">
      <alignment horizontal="left"/>
    </xf>
    <xf numFmtId="0" fontId="14" fillId="3" borderId="6" xfId="0" applyFont="1" applyFill="1" applyBorder="1" applyAlignment="1">
      <alignment horizontal="right" vertical="center" wrapText="1"/>
    </xf>
    <xf numFmtId="14" fontId="14" fillId="0" borderId="6" xfId="0" applyNumberFormat="1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2" fontId="14" fillId="0" borderId="6" xfId="0" applyNumberFormat="1" applyFont="1" applyBorder="1" applyAlignment="1">
      <alignment horizontal="right" vertical="center" wrapText="1"/>
    </xf>
    <xf numFmtId="0" fontId="14" fillId="10" borderId="6" xfId="0" applyFont="1" applyFill="1" applyBorder="1" applyAlignment="1">
      <alignment horizontal="left" vertical="center" wrapText="1"/>
    </xf>
    <xf numFmtId="14" fontId="14" fillId="0" borderId="22" xfId="0" applyNumberFormat="1" applyFont="1" applyBorder="1" applyAlignment="1">
      <alignment horizontal="left" vertical="center" wrapText="1"/>
    </xf>
    <xf numFmtId="0" fontId="14" fillId="10" borderId="23" xfId="0" applyFont="1" applyFill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right" wrapText="1"/>
    </xf>
    <xf numFmtId="14" fontId="9" fillId="0" borderId="6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164" fontId="0" fillId="0" borderId="6" xfId="0" applyNumberForma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right" vertical="center" wrapText="1"/>
    </xf>
    <xf numFmtId="0" fontId="0" fillId="0" borderId="6" xfId="0" applyFont="1" applyFill="1" applyBorder="1" applyAlignment="1">
      <alignment horizontal="right" vertical="center" wrapText="1"/>
    </xf>
    <xf numFmtId="0" fontId="15" fillId="0" borderId="6" xfId="0" applyFont="1" applyBorder="1" applyAlignment="1">
      <alignment horizontal="right" vertical="center" wrapText="1"/>
    </xf>
    <xf numFmtId="2" fontId="15" fillId="0" borderId="6" xfId="0" applyNumberFormat="1" applyFont="1" applyBorder="1" applyAlignment="1">
      <alignment horizontal="right" vertical="center" wrapText="1"/>
    </xf>
    <xf numFmtId="2" fontId="15" fillId="3" borderId="6" xfId="0" applyNumberFormat="1" applyFont="1" applyFill="1" applyBorder="1" applyAlignment="1">
      <alignment horizontal="right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43" fontId="0" fillId="0" borderId="12" xfId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4" fontId="14" fillId="0" borderId="6" xfId="0" applyNumberFormat="1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right" vertical="center" wrapText="1"/>
    </xf>
    <xf numFmtId="2" fontId="5" fillId="0" borderId="6" xfId="0" applyNumberFormat="1" applyFont="1" applyBorder="1" applyAlignment="1">
      <alignment horizontal="left" wrapText="1"/>
    </xf>
    <xf numFmtId="0" fontId="14" fillId="0" borderId="0" xfId="0" applyFont="1" applyFill="1" applyAlignment="1">
      <alignment horizontal="left" vertical="center" wrapText="1"/>
    </xf>
    <xf numFmtId="2" fontId="5" fillId="0" borderId="6" xfId="0" applyNumberFormat="1" applyFont="1" applyBorder="1" applyAlignment="1">
      <alignment horizontal="right" wrapText="1"/>
    </xf>
    <xf numFmtId="14" fontId="0" fillId="0" borderId="6" xfId="0" applyNumberFormat="1" applyBorder="1" applyAlignment="1">
      <alignment horizontal="left"/>
    </xf>
    <xf numFmtId="43" fontId="9" fillId="0" borderId="6" xfId="1" applyFont="1" applyBorder="1" applyAlignment="1">
      <alignment horizontal="right" wrapText="1"/>
    </xf>
    <xf numFmtId="0" fontId="7" fillId="0" borderId="6" xfId="2" applyFont="1" applyBorder="1" applyAlignment="1">
      <alignment horizontal="left"/>
    </xf>
    <xf numFmtId="0" fontId="0" fillId="0" borderId="6" xfId="0" applyBorder="1" applyAlignment="1">
      <alignment horizontal="right" wrapText="1"/>
    </xf>
    <xf numFmtId="14" fontId="0" fillId="0" borderId="6" xfId="0" applyNumberFormat="1" applyBorder="1" applyAlignment="1">
      <alignment horizontal="left" vertical="center"/>
    </xf>
    <xf numFmtId="14" fontId="15" fillId="0" borderId="6" xfId="0" applyNumberFormat="1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5" fillId="8" borderId="6" xfId="0" applyFont="1" applyFill="1" applyBorder="1" applyAlignment="1">
      <alignment horizontal="right" wrapText="1"/>
    </xf>
    <xf numFmtId="0" fontId="15" fillId="3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right" wrapText="1"/>
    </xf>
    <xf numFmtId="0" fontId="7" fillId="0" borderId="0" xfId="0" applyFont="1" applyBorder="1" applyAlignment="1">
      <alignment horizontal="left"/>
    </xf>
    <xf numFmtId="0" fontId="7" fillId="0" borderId="0" xfId="2" applyFont="1" applyBorder="1" applyAlignment="1">
      <alignment horizontal="left"/>
    </xf>
    <xf numFmtId="2" fontId="7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 wrapText="1"/>
    </xf>
    <xf numFmtId="0" fontId="12" fillId="0" borderId="0" xfId="0" applyFont="1" applyAlignment="1">
      <alignment horizontal="left" wrapText="1"/>
    </xf>
    <xf numFmtId="0" fontId="7" fillId="6" borderId="6" xfId="0" applyFont="1" applyFill="1" applyBorder="1" applyAlignment="1">
      <alignment horizontal="left"/>
    </xf>
    <xf numFmtId="0" fontId="7" fillId="6" borderId="6" xfId="2" applyFont="1" applyFill="1" applyBorder="1" applyAlignment="1">
      <alignment horizontal="left"/>
    </xf>
    <xf numFmtId="2" fontId="7" fillId="6" borderId="6" xfId="0" applyNumberFormat="1" applyFont="1" applyFill="1" applyBorder="1" applyAlignment="1">
      <alignment horizontal="right"/>
    </xf>
    <xf numFmtId="0" fontId="0" fillId="6" borderId="6" xfId="0" applyFill="1" applyBorder="1" applyAlignment="1">
      <alignment horizontal="right" wrapText="1"/>
    </xf>
    <xf numFmtId="2" fontId="0" fillId="0" borderId="0" xfId="0" applyNumberFormat="1" applyAlignment="1">
      <alignment horizontal="right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wrapText="1"/>
    </xf>
    <xf numFmtId="0" fontId="16" fillId="0" borderId="33" xfId="0" applyFont="1" applyBorder="1" applyAlignment="1">
      <alignment horizontal="center"/>
    </xf>
    <xf numFmtId="0" fontId="16" fillId="0" borderId="33" xfId="0" applyFont="1" applyBorder="1"/>
    <xf numFmtId="0" fontId="0" fillId="0" borderId="22" xfId="0" applyBorder="1" applyAlignment="1">
      <alignment horizontal="center"/>
    </xf>
    <xf numFmtId="0" fontId="9" fillId="0" borderId="5" xfId="0" applyFont="1" applyBorder="1" applyAlignment="1">
      <alignment wrapText="1"/>
    </xf>
    <xf numFmtId="0" fontId="17" fillId="0" borderId="5" xfId="0" applyFont="1" applyBorder="1" applyAlignment="1"/>
    <xf numFmtId="0" fontId="0" fillId="0" borderId="10" xfId="0" applyBorder="1" applyAlignment="1">
      <alignment horizontal="center"/>
    </xf>
    <xf numFmtId="0" fontId="9" fillId="0" borderId="6" xfId="0" applyFont="1" applyBorder="1" applyAlignment="1"/>
    <xf numFmtId="0" fontId="17" fillId="10" borderId="6" xfId="0" applyFont="1" applyFill="1" applyBorder="1" applyAlignment="1">
      <alignment vertical="center" wrapText="1"/>
    </xf>
    <xf numFmtId="0" fontId="17" fillId="0" borderId="6" xfId="0" applyFont="1" applyBorder="1" applyAlignment="1"/>
    <xf numFmtId="164" fontId="0" fillId="7" borderId="6" xfId="0" applyNumberForma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164" fontId="4" fillId="7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43" fontId="9" fillId="0" borderId="6" xfId="1" applyFont="1" applyFill="1" applyBorder="1" applyAlignment="1">
      <alignment horizontal="right" wrapText="1"/>
    </xf>
    <xf numFmtId="43" fontId="3" fillId="0" borderId="6" xfId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center" wrapText="1"/>
    </xf>
    <xf numFmtId="4" fontId="3" fillId="0" borderId="6" xfId="0" applyNumberFormat="1" applyFont="1" applyBorder="1" applyAlignment="1">
      <alignment horizontal="right" vertical="center" wrapText="1"/>
    </xf>
    <xf numFmtId="43" fontId="3" fillId="0" borderId="6" xfId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0" borderId="1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5" borderId="0" xfId="0" applyFont="1" applyFill="1" applyAlignment="1">
      <alignment horizontal="center" wrapText="1"/>
    </xf>
    <xf numFmtId="0" fontId="5" fillId="0" borderId="22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8" borderId="10" xfId="0" applyFont="1" applyFill="1" applyBorder="1" applyAlignment="1">
      <alignment horizontal="left" wrapText="1"/>
    </xf>
    <xf numFmtId="0" fontId="5" fillId="8" borderId="11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2" sqref="C2"/>
    </sheetView>
  </sheetViews>
  <sheetFormatPr defaultColWidth="9" defaultRowHeight="14.5"/>
  <cols>
    <col min="1" max="1" width="7.36328125" style="160" customWidth="1"/>
    <col min="2" max="2" width="36.6328125" customWidth="1"/>
    <col min="3" max="3" width="31.26953125" customWidth="1"/>
  </cols>
  <sheetData>
    <row r="1" spans="1:3" ht="18.5">
      <c r="A1" s="288" t="s">
        <v>0</v>
      </c>
      <c r="B1" s="289" t="s">
        <v>1</v>
      </c>
      <c r="C1" s="289" t="s">
        <v>2</v>
      </c>
    </row>
    <row r="2" spans="1:3" ht="15.5">
      <c r="A2" s="290">
        <v>1</v>
      </c>
      <c r="B2" s="291" t="s">
        <v>3</v>
      </c>
      <c r="C2" s="292" t="s">
        <v>4</v>
      </c>
    </row>
    <row r="3" spans="1:3" ht="15.5">
      <c r="A3" s="293">
        <v>2</v>
      </c>
      <c r="B3" s="294" t="s">
        <v>5</v>
      </c>
      <c r="C3" s="294" t="s">
        <v>6</v>
      </c>
    </row>
    <row r="4" spans="1:3" ht="15.5">
      <c r="A4" s="290">
        <v>3</v>
      </c>
      <c r="B4" s="295" t="s">
        <v>7</v>
      </c>
      <c r="C4" s="296" t="s">
        <v>8</v>
      </c>
    </row>
    <row r="5" spans="1:3">
      <c r="A5" s="27">
        <v>4</v>
      </c>
      <c r="B5" s="45" t="s">
        <v>9</v>
      </c>
      <c r="C5" t="s">
        <v>10</v>
      </c>
    </row>
    <row r="6" spans="1:3">
      <c r="A6" s="190">
        <v>5</v>
      </c>
      <c r="B6" s="7"/>
      <c r="C6" s="7"/>
    </row>
    <row r="7" spans="1:3">
      <c r="A7" s="27">
        <v>6</v>
      </c>
      <c r="B7" s="7"/>
      <c r="C7" s="7"/>
    </row>
    <row r="8" spans="1:3">
      <c r="A8" s="190">
        <v>7</v>
      </c>
      <c r="B8" s="7"/>
      <c r="C8" s="7"/>
    </row>
    <row r="9" spans="1:3">
      <c r="A9" s="27">
        <v>8</v>
      </c>
      <c r="B9" s="7"/>
      <c r="C9" s="7"/>
    </row>
    <row r="10" spans="1:3">
      <c r="A10" s="190">
        <v>9</v>
      </c>
      <c r="B10" s="7"/>
      <c r="C10" s="7"/>
    </row>
    <row r="11" spans="1:3">
      <c r="A11" s="27">
        <v>10</v>
      </c>
      <c r="B11" s="7"/>
      <c r="C11" s="7"/>
    </row>
    <row r="12" spans="1:3">
      <c r="A12" s="190">
        <v>11</v>
      </c>
      <c r="B12" s="7"/>
      <c r="C12" s="7"/>
    </row>
    <row r="13" spans="1:3">
      <c r="A13" s="27">
        <v>12</v>
      </c>
      <c r="B13" s="7"/>
      <c r="C13" s="7"/>
    </row>
    <row r="14" spans="1:3">
      <c r="A14" s="190">
        <v>13</v>
      </c>
      <c r="B14" s="7"/>
      <c r="C14" s="7"/>
    </row>
    <row r="15" spans="1:3">
      <c r="A15" s="27">
        <v>14</v>
      </c>
      <c r="B15" s="7"/>
      <c r="C15" s="7"/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topLeftCell="A18" zoomScale="85" zoomScaleNormal="85" workbookViewId="0">
      <selection activeCell="C31" sqref="C31"/>
    </sheetView>
  </sheetViews>
  <sheetFormatPr defaultColWidth="8.90625" defaultRowHeight="14.5"/>
  <cols>
    <col min="1" max="1" width="11.36328125" style="199" customWidth="1"/>
    <col min="2" max="2" width="18.36328125" style="199" customWidth="1"/>
    <col min="3" max="3" width="38.453125" style="199" customWidth="1"/>
    <col min="4" max="4" width="17.36328125" style="200" customWidth="1"/>
    <col min="5" max="5" width="16.54296875" style="200" customWidth="1"/>
    <col min="6" max="6" width="17" style="200" customWidth="1"/>
    <col min="7" max="7" width="16" style="200" customWidth="1"/>
    <col min="8" max="8" width="21.26953125" style="200" customWidth="1"/>
    <col min="9" max="9" width="10.7265625" style="201" customWidth="1"/>
    <col min="10" max="10" width="25" style="201" customWidth="1"/>
    <col min="11" max="16384" width="8.90625" style="201"/>
  </cols>
  <sheetData>
    <row r="1" spans="1:10" customFormat="1">
      <c r="A1" s="202"/>
      <c r="B1" s="202"/>
      <c r="C1" s="202"/>
      <c r="D1" s="203"/>
      <c r="E1" s="203"/>
      <c r="F1" s="203"/>
      <c r="G1" s="203"/>
      <c r="H1" s="203"/>
    </row>
    <row r="2" spans="1:10" customFormat="1" ht="21">
      <c r="A2" s="309" t="s">
        <v>11</v>
      </c>
      <c r="B2" s="309"/>
      <c r="C2" s="309"/>
      <c r="D2" s="309"/>
      <c r="E2" s="309"/>
      <c r="F2" s="309"/>
      <c r="G2" s="309"/>
      <c r="H2" s="309"/>
      <c r="I2" s="309"/>
      <c r="J2" s="309"/>
    </row>
    <row r="3" spans="1:10" customFormat="1" ht="21">
      <c r="A3" s="310" t="s">
        <v>12</v>
      </c>
      <c r="B3" s="310"/>
      <c r="C3" s="310"/>
      <c r="D3" s="310"/>
      <c r="E3" s="310"/>
      <c r="F3" s="310"/>
      <c r="G3" s="310"/>
      <c r="H3" s="310"/>
    </row>
    <row r="4" spans="1:10" ht="19.25" customHeight="1">
      <c r="A4" s="204" t="s">
        <v>13</v>
      </c>
      <c r="B4" s="204" t="s">
        <v>14</v>
      </c>
      <c r="C4" s="204" t="s">
        <v>15</v>
      </c>
      <c r="D4" s="205" t="s">
        <v>16</v>
      </c>
      <c r="E4" s="205" t="s">
        <v>17</v>
      </c>
      <c r="F4" s="205" t="s">
        <v>18</v>
      </c>
      <c r="G4" s="205" t="s">
        <v>19</v>
      </c>
      <c r="H4" s="205" t="s">
        <v>20</v>
      </c>
    </row>
    <row r="5" spans="1:10" s="193" customFormat="1" ht="16.75" customHeight="1">
      <c r="A5" s="206">
        <v>45661</v>
      </c>
      <c r="B5" s="207" t="s">
        <v>21</v>
      </c>
      <c r="C5" s="208" t="s">
        <v>3</v>
      </c>
      <c r="D5" s="209">
        <v>120460</v>
      </c>
      <c r="E5" s="209"/>
      <c r="F5" s="209">
        <f>D5*9%</f>
        <v>10841.4</v>
      </c>
      <c r="G5" s="209">
        <f>F5</f>
        <v>10841.4</v>
      </c>
      <c r="H5" s="209">
        <f>D5+E5+F5+G5</f>
        <v>142142.79999999999</v>
      </c>
    </row>
    <row r="6" spans="1:10" s="193" customFormat="1" ht="15.5">
      <c r="A6" s="206">
        <v>45661</v>
      </c>
      <c r="B6" s="207" t="s">
        <v>22</v>
      </c>
      <c r="C6" s="208" t="s">
        <v>3</v>
      </c>
      <c r="D6" s="209">
        <v>81940</v>
      </c>
      <c r="E6" s="209"/>
      <c r="F6" s="209">
        <f t="shared" ref="F6:F8" si="0">D6*9%</f>
        <v>7374.6</v>
      </c>
      <c r="G6" s="209">
        <f t="shared" ref="G6:G8" si="1">F6</f>
        <v>7374.6</v>
      </c>
      <c r="H6" s="209">
        <f t="shared" ref="H6:H8" si="2">D6+E6+F6+G6</f>
        <v>96689.2</v>
      </c>
    </row>
    <row r="7" spans="1:10" s="193" customFormat="1" ht="15.5">
      <c r="A7" s="206">
        <v>45934</v>
      </c>
      <c r="B7" s="207" t="s">
        <v>23</v>
      </c>
      <c r="C7" s="208" t="s">
        <v>3</v>
      </c>
      <c r="D7" s="209">
        <v>237530</v>
      </c>
      <c r="E7" s="209"/>
      <c r="F7" s="209">
        <f t="shared" si="0"/>
        <v>21377.7</v>
      </c>
      <c r="G7" s="209">
        <f t="shared" si="1"/>
        <v>21377.7</v>
      </c>
      <c r="H7" s="209">
        <f t="shared" si="2"/>
        <v>280285.40000000002</v>
      </c>
    </row>
    <row r="8" spans="1:10" s="193" customFormat="1" ht="15.5">
      <c r="A8" s="206">
        <v>45934</v>
      </c>
      <c r="B8" s="207" t="s">
        <v>24</v>
      </c>
      <c r="C8" s="208" t="s">
        <v>3</v>
      </c>
      <c r="D8" s="209">
        <v>25800</v>
      </c>
      <c r="E8" s="209"/>
      <c r="F8" s="209">
        <f t="shared" si="0"/>
        <v>2322</v>
      </c>
      <c r="G8" s="209">
        <f t="shared" si="1"/>
        <v>2322</v>
      </c>
      <c r="H8" s="209">
        <f t="shared" si="2"/>
        <v>30444</v>
      </c>
    </row>
    <row r="9" spans="1:10" s="193" customFormat="1" ht="15.5">
      <c r="A9" s="210">
        <v>45965</v>
      </c>
      <c r="B9" s="207" t="s">
        <v>25</v>
      </c>
      <c r="C9" s="208" t="s">
        <v>3</v>
      </c>
      <c r="D9" s="209">
        <v>94520</v>
      </c>
      <c r="E9" s="209"/>
      <c r="F9" s="209">
        <f t="shared" ref="F9" si="3">D9*9%</f>
        <v>8506.7999999999993</v>
      </c>
      <c r="G9" s="209">
        <f t="shared" ref="G9" si="4">F9</f>
        <v>8506.7999999999993</v>
      </c>
      <c r="H9" s="209">
        <f t="shared" ref="H9" si="5">D9+E9+F9+G9</f>
        <v>111533.6</v>
      </c>
    </row>
    <row r="10" spans="1:10" s="193" customFormat="1" ht="15.5">
      <c r="A10" s="202" t="s">
        <v>26</v>
      </c>
      <c r="B10" s="207" t="s">
        <v>27</v>
      </c>
      <c r="C10" s="208" t="s">
        <v>3</v>
      </c>
      <c r="D10" s="209">
        <v>190532</v>
      </c>
      <c r="E10" s="209"/>
      <c r="F10" s="209">
        <f t="shared" ref="F10:F11" si="6">D10*9%</f>
        <v>17147.88</v>
      </c>
      <c r="G10" s="209">
        <f t="shared" ref="G10:G11" si="7">F10</f>
        <v>17147.88</v>
      </c>
      <c r="H10" s="209">
        <f t="shared" ref="H10:H11" si="8">D10+E10+F10+G10</f>
        <v>224827.76</v>
      </c>
    </row>
    <row r="11" spans="1:10" s="193" customFormat="1" ht="15.5">
      <c r="A11" s="202" t="s">
        <v>28</v>
      </c>
      <c r="B11" s="207" t="s">
        <v>29</v>
      </c>
      <c r="C11" s="208" t="s">
        <v>3</v>
      </c>
      <c r="D11" s="209">
        <v>6521</v>
      </c>
      <c r="E11" s="209"/>
      <c r="F11" s="209">
        <f t="shared" si="6"/>
        <v>586.89</v>
      </c>
      <c r="G11" s="209">
        <f t="shared" si="7"/>
        <v>586.89</v>
      </c>
      <c r="H11" s="209">
        <f t="shared" si="8"/>
        <v>7694.78</v>
      </c>
    </row>
    <row r="12" spans="1:10" s="193" customFormat="1" ht="15.5">
      <c r="A12" s="211" t="s">
        <v>30</v>
      </c>
      <c r="B12" s="212" t="s">
        <v>31</v>
      </c>
      <c r="C12" s="211" t="s">
        <v>3</v>
      </c>
      <c r="D12" s="209">
        <v>4980</v>
      </c>
      <c r="E12" s="209"/>
      <c r="F12" s="209">
        <f t="shared" ref="F12" si="9">D12*9%</f>
        <v>448.2</v>
      </c>
      <c r="G12" s="209">
        <f t="shared" ref="G12" si="10">F12</f>
        <v>448.2</v>
      </c>
      <c r="H12" s="209">
        <f t="shared" ref="H12" si="11">D12+E12+F12+G12</f>
        <v>5876.4</v>
      </c>
    </row>
    <row r="13" spans="1:10" ht="21">
      <c r="A13" s="311" t="s">
        <v>32</v>
      </c>
      <c r="B13" s="312"/>
      <c r="C13" s="312"/>
      <c r="D13" s="213">
        <f>SUM(D5:D12)</f>
        <v>762283</v>
      </c>
      <c r="E13" s="213">
        <f t="shared" ref="E13:H13" si="12">SUM(E5:E12)</f>
        <v>0</v>
      </c>
      <c r="F13" s="213">
        <f t="shared" si="12"/>
        <v>68605.47</v>
      </c>
      <c r="G13" s="213">
        <f t="shared" si="12"/>
        <v>68605.47</v>
      </c>
      <c r="H13" s="213">
        <f t="shared" si="12"/>
        <v>899493.94</v>
      </c>
    </row>
    <row r="14" spans="1:10" ht="21">
      <c r="A14" s="313" t="s">
        <v>33</v>
      </c>
      <c r="B14" s="313"/>
      <c r="C14" s="313"/>
      <c r="D14" s="313"/>
      <c r="E14" s="313"/>
      <c r="F14" s="313"/>
      <c r="G14" s="313"/>
      <c r="H14" s="313"/>
      <c r="I14" s="313"/>
      <c r="J14" s="313"/>
    </row>
    <row r="15" spans="1:10" ht="29">
      <c r="A15" s="204" t="s">
        <v>13</v>
      </c>
      <c r="B15" s="204" t="s">
        <v>34</v>
      </c>
      <c r="C15" s="204" t="s">
        <v>15</v>
      </c>
      <c r="D15" s="205" t="s">
        <v>16</v>
      </c>
      <c r="E15" s="205" t="s">
        <v>35</v>
      </c>
      <c r="F15" s="205" t="s">
        <v>18</v>
      </c>
      <c r="G15" s="205" t="s">
        <v>19</v>
      </c>
      <c r="H15" s="205" t="s">
        <v>20</v>
      </c>
      <c r="I15" s="9" t="s">
        <v>36</v>
      </c>
      <c r="J15" s="9" t="s">
        <v>37</v>
      </c>
    </row>
    <row r="16" spans="1:10" s="193" customFormat="1" ht="15.5">
      <c r="A16" s="214">
        <v>45750</v>
      </c>
      <c r="B16" s="215" t="s">
        <v>38</v>
      </c>
      <c r="C16" s="216" t="s">
        <v>39</v>
      </c>
      <c r="D16" s="217">
        <v>1779.75</v>
      </c>
      <c r="E16" s="217"/>
      <c r="F16" s="209">
        <f t="shared" ref="F16" si="13">D16*9%</f>
        <v>160.17750000000001</v>
      </c>
      <c r="G16" s="209">
        <f t="shared" ref="G16" si="14">F16</f>
        <v>160.17750000000001</v>
      </c>
      <c r="H16" s="209">
        <v>2100</v>
      </c>
      <c r="I16" s="241"/>
      <c r="J16" s="241"/>
    </row>
    <row r="17" spans="1:10" s="193" customFormat="1" ht="15.5">
      <c r="A17" s="214">
        <v>45750</v>
      </c>
      <c r="B17" s="215">
        <v>10</v>
      </c>
      <c r="C17" s="216" t="s">
        <v>40</v>
      </c>
      <c r="D17" s="217">
        <v>737.8</v>
      </c>
      <c r="E17" s="217"/>
      <c r="F17" s="209">
        <f t="shared" ref="F17" si="15">D17*9%</f>
        <v>66.402000000000001</v>
      </c>
      <c r="G17" s="209">
        <f t="shared" ref="G17" si="16">F17</f>
        <v>66.402000000000001</v>
      </c>
      <c r="H17" s="209">
        <v>871</v>
      </c>
      <c r="I17" s="241"/>
      <c r="J17" s="241"/>
    </row>
    <row r="18" spans="1:10" s="193" customFormat="1" ht="15.5">
      <c r="A18" s="139" t="s">
        <v>41</v>
      </c>
      <c r="B18" s="139" t="s">
        <v>42</v>
      </c>
      <c r="C18" s="139" t="s">
        <v>43</v>
      </c>
      <c r="D18" s="35">
        <v>2345356</v>
      </c>
      <c r="E18" s="35">
        <v>422164.08</v>
      </c>
      <c r="F18" s="35">
        <v>0</v>
      </c>
      <c r="G18" s="35">
        <v>0</v>
      </c>
      <c r="H18" s="217"/>
      <c r="I18" s="241"/>
      <c r="J18" s="241"/>
    </row>
    <row r="19" spans="1:10" s="193" customFormat="1" ht="15.5">
      <c r="A19" s="139" t="s">
        <v>44</v>
      </c>
      <c r="B19" s="139" t="s">
        <v>45</v>
      </c>
      <c r="C19" s="139" t="s">
        <v>43</v>
      </c>
      <c r="D19" s="35">
        <v>397399</v>
      </c>
      <c r="E19" s="35">
        <v>71531.820000000007</v>
      </c>
      <c r="F19" s="35">
        <v>0</v>
      </c>
      <c r="G19" s="35">
        <v>0</v>
      </c>
      <c r="H19" s="217"/>
      <c r="I19" s="241"/>
      <c r="J19" s="241"/>
    </row>
    <row r="20" spans="1:10" s="193" customFormat="1" ht="15.5">
      <c r="A20" s="139" t="s">
        <v>46</v>
      </c>
      <c r="B20" s="139" t="s">
        <v>47</v>
      </c>
      <c r="C20" s="139" t="s">
        <v>48</v>
      </c>
      <c r="D20" s="35">
        <v>106650</v>
      </c>
      <c r="E20" s="35">
        <v>19197</v>
      </c>
      <c r="F20" s="35">
        <v>0</v>
      </c>
      <c r="G20" s="35">
        <v>0</v>
      </c>
      <c r="H20" s="217"/>
      <c r="I20" s="241"/>
      <c r="J20" s="241"/>
    </row>
    <row r="21" spans="1:10" s="193" customFormat="1" ht="15.5">
      <c r="A21" s="139" t="s">
        <v>49</v>
      </c>
      <c r="B21" s="139" t="s">
        <v>50</v>
      </c>
      <c r="C21" s="139" t="s">
        <v>48</v>
      </c>
      <c r="D21" s="35">
        <v>48000</v>
      </c>
      <c r="E21" s="35">
        <v>8640</v>
      </c>
      <c r="F21" s="35">
        <v>0</v>
      </c>
      <c r="G21" s="35">
        <v>0</v>
      </c>
      <c r="H21" s="217"/>
      <c r="I21" s="241"/>
      <c r="J21" s="241"/>
    </row>
    <row r="22" spans="1:10" s="193" customFormat="1" ht="15.5">
      <c r="A22" s="139" t="s">
        <v>28</v>
      </c>
      <c r="B22" s="139" t="s">
        <v>51</v>
      </c>
      <c r="C22" s="139" t="s">
        <v>48</v>
      </c>
      <c r="D22" s="35">
        <v>37200</v>
      </c>
      <c r="E22" s="35">
        <v>6696</v>
      </c>
      <c r="F22" s="35">
        <v>0</v>
      </c>
      <c r="G22" s="35">
        <v>0</v>
      </c>
      <c r="H22" s="217"/>
      <c r="I22" s="241"/>
      <c r="J22" s="241"/>
    </row>
    <row r="23" spans="1:10" s="193" customFormat="1" ht="15.5">
      <c r="A23" s="139" t="s">
        <v>52</v>
      </c>
      <c r="B23" s="139" t="s">
        <v>53</v>
      </c>
      <c r="C23" s="139" t="s">
        <v>48</v>
      </c>
      <c r="D23" s="35">
        <v>33620</v>
      </c>
      <c r="E23" s="35">
        <v>6051.6</v>
      </c>
      <c r="F23" s="35">
        <v>0</v>
      </c>
      <c r="G23" s="35">
        <v>0</v>
      </c>
      <c r="H23" s="217"/>
      <c r="I23" s="241"/>
      <c r="J23" s="241"/>
    </row>
    <row r="24" spans="1:10" s="193" customFormat="1" ht="15.5">
      <c r="A24" s="139" t="s">
        <v>54</v>
      </c>
      <c r="B24" s="139" t="s">
        <v>55</v>
      </c>
      <c r="C24" s="139" t="s">
        <v>56</v>
      </c>
      <c r="D24" s="35">
        <v>20000</v>
      </c>
      <c r="E24" s="35">
        <v>3600</v>
      </c>
      <c r="F24" s="35">
        <v>0</v>
      </c>
      <c r="G24" s="35">
        <v>0</v>
      </c>
      <c r="H24" s="217"/>
      <c r="I24" s="241"/>
      <c r="J24" s="241"/>
    </row>
    <row r="25" spans="1:10" s="193" customFormat="1" ht="15.5">
      <c r="A25" s="139" t="s">
        <v>57</v>
      </c>
      <c r="B25" s="139" t="s">
        <v>58</v>
      </c>
      <c r="C25" s="139" t="s">
        <v>59</v>
      </c>
      <c r="D25" s="35">
        <v>841.5</v>
      </c>
      <c r="E25" s="35">
        <v>0</v>
      </c>
      <c r="F25" s="35">
        <v>75.73</v>
      </c>
      <c r="G25" s="35">
        <v>75.73</v>
      </c>
      <c r="H25" s="217"/>
      <c r="I25" s="241"/>
      <c r="J25" s="241"/>
    </row>
    <row r="26" spans="1:10" s="194" customFormat="1" ht="15.5">
      <c r="A26" s="218" t="s">
        <v>28</v>
      </c>
      <c r="B26" s="218" t="s">
        <v>60</v>
      </c>
      <c r="C26" s="218" t="s">
        <v>59</v>
      </c>
      <c r="D26" s="46">
        <v>508.48</v>
      </c>
      <c r="E26" s="46">
        <v>0</v>
      </c>
      <c r="F26" s="46">
        <v>45.77</v>
      </c>
      <c r="G26" s="46">
        <v>45.77</v>
      </c>
      <c r="H26" s="219"/>
      <c r="I26" s="242"/>
      <c r="J26" s="242"/>
    </row>
    <row r="27" spans="1:10" s="194" customFormat="1" ht="15.5">
      <c r="A27" s="218" t="s">
        <v>44</v>
      </c>
      <c r="B27" s="218" t="s">
        <v>61</v>
      </c>
      <c r="C27" s="218" t="s">
        <v>62</v>
      </c>
      <c r="D27" s="46">
        <v>1226.72</v>
      </c>
      <c r="E27" s="46">
        <v>0</v>
      </c>
      <c r="F27" s="46">
        <v>110.4</v>
      </c>
      <c r="G27" s="46">
        <v>110.4</v>
      </c>
      <c r="H27" s="219"/>
      <c r="I27" s="242"/>
      <c r="J27" s="242"/>
    </row>
    <row r="28" spans="1:10" s="193" customFormat="1" ht="15.5">
      <c r="A28" s="139" t="s">
        <v>52</v>
      </c>
      <c r="B28" s="139" t="s">
        <v>63</v>
      </c>
      <c r="C28" s="139" t="s">
        <v>64</v>
      </c>
      <c r="D28" s="35">
        <v>166700</v>
      </c>
      <c r="E28" s="35">
        <v>30006</v>
      </c>
      <c r="F28" s="35">
        <v>0</v>
      </c>
      <c r="G28" s="35">
        <v>0</v>
      </c>
      <c r="H28" s="217"/>
      <c r="I28" s="241"/>
      <c r="J28" s="241"/>
    </row>
    <row r="29" spans="1:10" s="193" customFormat="1" ht="15.5">
      <c r="A29" s="139" t="s">
        <v>65</v>
      </c>
      <c r="B29" s="139" t="s">
        <v>66</v>
      </c>
      <c r="C29" s="139" t="s">
        <v>67</v>
      </c>
      <c r="D29" s="35">
        <v>3250</v>
      </c>
      <c r="E29" s="35">
        <v>0</v>
      </c>
      <c r="F29" s="35">
        <v>292.5</v>
      </c>
      <c r="G29" s="35">
        <v>292.5</v>
      </c>
      <c r="H29" s="217"/>
      <c r="I29" s="241"/>
      <c r="J29" s="241"/>
    </row>
    <row r="30" spans="1:10" s="193" customFormat="1" ht="15.5">
      <c r="A30" s="139" t="s">
        <v>68</v>
      </c>
      <c r="B30" s="139" t="s">
        <v>69</v>
      </c>
      <c r="C30" s="139" t="s">
        <v>70</v>
      </c>
      <c r="D30" s="35">
        <v>3300</v>
      </c>
      <c r="E30" s="35">
        <v>594</v>
      </c>
      <c r="F30" s="35">
        <v>0</v>
      </c>
      <c r="G30" s="35">
        <v>0</v>
      </c>
      <c r="H30" s="217"/>
      <c r="I30" s="241"/>
      <c r="J30" s="241"/>
    </row>
    <row r="31" spans="1:10" s="193" customFormat="1" ht="15.5">
      <c r="A31" s="139" t="s">
        <v>71</v>
      </c>
      <c r="B31" s="139" t="s">
        <v>72</v>
      </c>
      <c r="C31" s="139" t="s">
        <v>73</v>
      </c>
      <c r="D31" s="35">
        <v>23580</v>
      </c>
      <c r="E31" s="35">
        <v>4244.3999999999996</v>
      </c>
      <c r="F31" s="35">
        <v>0</v>
      </c>
      <c r="G31" s="35">
        <v>0</v>
      </c>
      <c r="H31" s="217"/>
      <c r="I31" s="241"/>
      <c r="J31" s="241"/>
    </row>
    <row r="32" spans="1:10" s="193" customFormat="1" ht="15.5">
      <c r="A32" s="139" t="s">
        <v>74</v>
      </c>
      <c r="B32" s="139" t="s">
        <v>75</v>
      </c>
      <c r="C32" s="139" t="s">
        <v>76</v>
      </c>
      <c r="D32" s="35">
        <v>46838</v>
      </c>
      <c r="E32" s="35">
        <v>0</v>
      </c>
      <c r="F32" s="35">
        <v>4215.42</v>
      </c>
      <c r="G32" s="35">
        <v>4215.42</v>
      </c>
      <c r="H32" s="217"/>
      <c r="I32" s="241"/>
      <c r="J32" s="241"/>
    </row>
    <row r="33" spans="1:10" s="193" customFormat="1" ht="15.5">
      <c r="A33" s="139" t="s">
        <v>71</v>
      </c>
      <c r="B33" s="139" t="s">
        <v>77</v>
      </c>
      <c r="C33" s="139" t="s">
        <v>78</v>
      </c>
      <c r="D33" s="35">
        <v>932.73</v>
      </c>
      <c r="E33" s="35">
        <v>111.93</v>
      </c>
      <c r="F33" s="35">
        <v>0</v>
      </c>
      <c r="G33" s="35">
        <v>0</v>
      </c>
      <c r="H33" s="217"/>
      <c r="I33" s="241"/>
      <c r="J33" s="241"/>
    </row>
    <row r="34" spans="1:10" s="193" customFormat="1" ht="15.5" hidden="1">
      <c r="A34" s="220"/>
      <c r="B34" s="221"/>
      <c r="C34" s="221"/>
      <c r="D34" s="222">
        <f>SUM(D18:D33)</f>
        <v>3235402.43</v>
      </c>
      <c r="E34" s="222">
        <f t="shared" ref="E34:G34" si="17">SUM(E18:E33)</f>
        <v>572836.82999999996</v>
      </c>
      <c r="F34" s="222">
        <f t="shared" si="17"/>
        <v>4739.82</v>
      </c>
      <c r="G34" s="222">
        <f t="shared" si="17"/>
        <v>4739.82</v>
      </c>
      <c r="H34" s="217"/>
      <c r="I34" s="241"/>
      <c r="J34" s="241"/>
    </row>
    <row r="35" spans="1:10" s="193" customFormat="1" ht="15.5" hidden="1">
      <c r="A35" s="220"/>
      <c r="B35" s="221"/>
      <c r="C35" s="221"/>
      <c r="D35" s="217"/>
      <c r="E35" s="217"/>
      <c r="F35" s="217"/>
      <c r="G35" s="217"/>
      <c r="H35" s="217"/>
      <c r="I35" s="241"/>
      <c r="J35" s="241"/>
    </row>
    <row r="36" spans="1:10" s="193" customFormat="1" ht="15.5" hidden="1">
      <c r="A36" s="220"/>
      <c r="B36" s="221"/>
      <c r="C36" s="221"/>
      <c r="D36" s="217"/>
      <c r="E36" s="217"/>
      <c r="F36" s="217"/>
      <c r="G36" s="217"/>
      <c r="H36" s="217"/>
      <c r="I36" s="241"/>
      <c r="J36" s="241"/>
    </row>
    <row r="37" spans="1:10" s="193" customFormat="1" ht="15.5" hidden="1">
      <c r="A37" s="220"/>
      <c r="B37" s="221"/>
      <c r="C37" s="223"/>
      <c r="D37" s="217"/>
      <c r="E37" s="217"/>
      <c r="F37" s="217"/>
      <c r="G37" s="217"/>
      <c r="H37" s="217"/>
      <c r="I37" s="241"/>
      <c r="J37" s="241"/>
    </row>
    <row r="38" spans="1:10" s="193" customFormat="1" ht="15.5" hidden="1">
      <c r="A38" s="220"/>
      <c r="B38" s="221"/>
      <c r="C38" s="223"/>
      <c r="D38" s="217"/>
      <c r="E38" s="217"/>
      <c r="F38" s="217"/>
      <c r="G38" s="217"/>
      <c r="H38" s="217"/>
      <c r="I38" s="241"/>
      <c r="J38" s="243"/>
    </row>
    <row r="39" spans="1:10" s="193" customFormat="1" ht="15.5" hidden="1">
      <c r="A39" s="220"/>
      <c r="B39" s="221"/>
      <c r="C39" s="223"/>
      <c r="D39" s="217"/>
      <c r="E39" s="217"/>
      <c r="F39" s="217"/>
      <c r="G39" s="217"/>
      <c r="H39" s="217"/>
      <c r="I39" s="241"/>
      <c r="J39" s="241"/>
    </row>
    <row r="40" spans="1:10" s="193" customFormat="1" ht="15.5" hidden="1">
      <c r="A40" s="220"/>
      <c r="B40" s="221"/>
      <c r="C40" s="223"/>
      <c r="D40" s="217"/>
      <c r="E40" s="217"/>
      <c r="F40" s="217"/>
      <c r="G40" s="217"/>
      <c r="H40" s="217"/>
      <c r="I40" s="241"/>
      <c r="J40" s="241"/>
    </row>
    <row r="41" spans="1:10" s="193" customFormat="1" ht="15.5" hidden="1">
      <c r="A41" s="220"/>
      <c r="B41" s="221"/>
      <c r="C41" s="221"/>
      <c r="D41" s="217"/>
      <c r="E41" s="217"/>
      <c r="F41" s="217"/>
      <c r="G41" s="217"/>
      <c r="H41" s="217"/>
      <c r="I41" s="241"/>
      <c r="J41" s="243"/>
    </row>
    <row r="42" spans="1:10" s="193" customFormat="1" ht="15.5" hidden="1">
      <c r="A42" s="220"/>
      <c r="B42" s="221"/>
      <c r="C42" s="223"/>
      <c r="D42" s="217"/>
      <c r="E42" s="217"/>
      <c r="F42" s="217"/>
      <c r="G42" s="217"/>
      <c r="H42" s="217"/>
      <c r="I42" s="241"/>
      <c r="J42" s="241"/>
    </row>
    <row r="43" spans="1:10" s="193" customFormat="1" ht="15.5" hidden="1">
      <c r="A43" s="220"/>
      <c r="B43" s="223"/>
      <c r="C43" s="221"/>
      <c r="D43" s="217"/>
      <c r="E43" s="217"/>
      <c r="F43" s="217"/>
      <c r="G43" s="217"/>
      <c r="H43" s="217"/>
      <c r="I43" s="241"/>
      <c r="J43" s="241"/>
    </row>
    <row r="44" spans="1:10" s="193" customFormat="1" ht="15.5">
      <c r="A44" s="224"/>
      <c r="B44" s="225"/>
      <c r="C44" s="226"/>
      <c r="D44" s="227"/>
      <c r="E44" s="227"/>
      <c r="F44" s="227"/>
      <c r="G44" s="227"/>
      <c r="H44" s="227"/>
      <c r="I44" s="244"/>
      <c r="J44" s="244"/>
    </row>
    <row r="45" spans="1:10" ht="21">
      <c r="A45" s="314" t="s">
        <v>32</v>
      </c>
      <c r="B45" s="315"/>
      <c r="C45" s="315"/>
      <c r="D45" s="228">
        <f>SUM(D16:D44)</f>
        <v>6473322.4100000001</v>
      </c>
      <c r="E45" s="228">
        <f>SUM(E16:E33)</f>
        <v>572836.82999999996</v>
      </c>
      <c r="F45" s="228">
        <f t="shared" ref="F45:G45" si="18">SUM(F16:F33)</f>
        <v>4966.3995000000004</v>
      </c>
      <c r="G45" s="228">
        <f t="shared" si="18"/>
        <v>4966.3995000000004</v>
      </c>
      <c r="H45" s="228">
        <f>SUM(H16:H43)</f>
        <v>2971</v>
      </c>
      <c r="I45" s="245"/>
      <c r="J45" s="245"/>
    </row>
    <row r="46" spans="1:10" ht="21">
      <c r="A46" s="229"/>
      <c r="B46" s="229"/>
      <c r="C46" s="229"/>
      <c r="D46" s="230"/>
      <c r="E46" s="230">
        <f>E45+F45+G45</f>
        <v>582769.62899999996</v>
      </c>
      <c r="F46" s="230">
        <f>F13+G13</f>
        <v>137210.94</v>
      </c>
      <c r="G46" s="230">
        <f>E46-F46</f>
        <v>445558.68900000001</v>
      </c>
      <c r="H46" s="230"/>
      <c r="I46" s="19"/>
      <c r="J46" s="19"/>
    </row>
    <row r="48" spans="1:10" ht="21">
      <c r="A48" s="309" t="s">
        <v>79</v>
      </c>
      <c r="B48" s="309"/>
      <c r="C48" s="309"/>
      <c r="D48" s="309"/>
      <c r="E48" s="309"/>
      <c r="F48" s="309"/>
      <c r="G48" s="309"/>
      <c r="H48" s="309"/>
      <c r="I48" s="309"/>
      <c r="J48" s="309"/>
    </row>
    <row r="49" spans="1:11" ht="21">
      <c r="A49" s="310" t="s">
        <v>12</v>
      </c>
      <c r="B49" s="310"/>
      <c r="C49" s="310"/>
      <c r="D49" s="310"/>
      <c r="E49" s="310"/>
      <c r="F49" s="310"/>
      <c r="G49" s="310"/>
      <c r="H49" s="310"/>
      <c r="I49"/>
      <c r="J49"/>
    </row>
    <row r="50" spans="1:11" ht="29">
      <c r="A50" s="204" t="s">
        <v>13</v>
      </c>
      <c r="B50" s="204" t="s">
        <v>14</v>
      </c>
      <c r="C50" s="204" t="s">
        <v>15</v>
      </c>
      <c r="D50" s="205" t="s">
        <v>16</v>
      </c>
      <c r="E50" s="205" t="s">
        <v>17</v>
      </c>
      <c r="F50" s="205" t="s">
        <v>18</v>
      </c>
      <c r="G50" s="205" t="s">
        <v>19</v>
      </c>
      <c r="H50" s="205" t="s">
        <v>20</v>
      </c>
    </row>
    <row r="51" spans="1:11" ht="15.5">
      <c r="A51" s="206">
        <v>45905</v>
      </c>
      <c r="B51" s="212" t="s">
        <v>80</v>
      </c>
      <c r="C51" s="211" t="s">
        <v>3</v>
      </c>
      <c r="D51" s="209">
        <v>343461</v>
      </c>
      <c r="E51" s="209"/>
      <c r="F51" s="209">
        <f>D51*9%</f>
        <v>30911.49</v>
      </c>
      <c r="G51" s="209">
        <f>F51</f>
        <v>30911.49</v>
      </c>
      <c r="H51" s="209">
        <f>D51+E51+F51+G51</f>
        <v>405283.98</v>
      </c>
    </row>
    <row r="52" spans="1:11" ht="15.5">
      <c r="A52" s="211" t="s">
        <v>81</v>
      </c>
      <c r="B52" s="212" t="s">
        <v>82</v>
      </c>
      <c r="C52" s="211" t="s">
        <v>3</v>
      </c>
      <c r="D52" s="209">
        <v>186156</v>
      </c>
      <c r="E52" s="209"/>
      <c r="F52" s="209">
        <f t="shared" ref="F52:F53" si="19">D52*9%</f>
        <v>16754.04</v>
      </c>
      <c r="G52" s="209">
        <f t="shared" ref="G52:G53" si="20">F52</f>
        <v>16754.04</v>
      </c>
      <c r="H52" s="209">
        <f t="shared" ref="H52:H53" si="21">D52+E52+F52+G52</f>
        <v>219664.08</v>
      </c>
    </row>
    <row r="53" spans="1:11" ht="15.5">
      <c r="A53" s="211" t="s">
        <v>81</v>
      </c>
      <c r="B53" s="212" t="s">
        <v>83</v>
      </c>
      <c r="C53" s="211" t="s">
        <v>3</v>
      </c>
      <c r="D53" s="209">
        <v>84540</v>
      </c>
      <c r="E53" s="209"/>
      <c r="F53" s="209">
        <f t="shared" si="19"/>
        <v>7608.6</v>
      </c>
      <c r="G53" s="209">
        <f t="shared" si="20"/>
        <v>7608.6</v>
      </c>
      <c r="H53" s="209">
        <f t="shared" si="21"/>
        <v>99757.2</v>
      </c>
    </row>
    <row r="54" spans="1:11" ht="15.5">
      <c r="A54" s="231"/>
      <c r="B54" s="208"/>
      <c r="C54" s="208"/>
      <c r="D54" s="209"/>
      <c r="E54" s="209"/>
      <c r="F54" s="209"/>
      <c r="G54" s="209"/>
      <c r="H54" s="209"/>
    </row>
    <row r="55" spans="1:11" ht="21">
      <c r="A55" s="311" t="s">
        <v>32</v>
      </c>
      <c r="B55" s="312"/>
      <c r="C55" s="312"/>
      <c r="D55" s="213">
        <f>SUM(D51:D54)</f>
        <v>614157</v>
      </c>
      <c r="E55" s="213">
        <f>SUM(E51:E54)</f>
        <v>0</v>
      </c>
      <c r="F55" s="213">
        <f>SUM(F51:F54)</f>
        <v>55274.13</v>
      </c>
      <c r="G55" s="213">
        <f>SUM(G51:G54)</f>
        <v>55274.13</v>
      </c>
      <c r="H55" s="213">
        <f>SUM(H51:H54)</f>
        <v>724705.26</v>
      </c>
    </row>
    <row r="56" spans="1:11" ht="21">
      <c r="A56" s="313" t="s">
        <v>33</v>
      </c>
      <c r="B56" s="313"/>
      <c r="C56" s="313"/>
      <c r="D56" s="313"/>
      <c r="E56" s="313"/>
      <c r="F56" s="313"/>
      <c r="G56" s="313"/>
      <c r="H56" s="313"/>
      <c r="I56" s="313"/>
      <c r="J56" s="313"/>
    </row>
    <row r="57" spans="1:11" s="154" customFormat="1" ht="29">
      <c r="A57" s="232" t="s">
        <v>13</v>
      </c>
      <c r="B57" s="232" t="s">
        <v>34</v>
      </c>
      <c r="C57" s="232" t="s">
        <v>15</v>
      </c>
      <c r="D57" s="233" t="s">
        <v>16</v>
      </c>
      <c r="E57" s="233" t="s">
        <v>35</v>
      </c>
      <c r="F57" s="233" t="s">
        <v>18</v>
      </c>
      <c r="G57" s="233" t="s">
        <v>19</v>
      </c>
      <c r="H57" s="233" t="s">
        <v>20</v>
      </c>
      <c r="I57" s="246" t="s">
        <v>36</v>
      </c>
      <c r="J57" s="246" t="s">
        <v>37</v>
      </c>
    </row>
    <row r="58" spans="1:11" s="195" customFormat="1" ht="15.5">
      <c r="A58" s="234">
        <v>45789</v>
      </c>
      <c r="B58" s="235" t="s">
        <v>84</v>
      </c>
      <c r="C58" s="235" t="s">
        <v>85</v>
      </c>
      <c r="D58" s="236">
        <v>2737.29</v>
      </c>
      <c r="E58" s="237">
        <f>D58*18%</f>
        <v>492.7122</v>
      </c>
      <c r="F58" s="236"/>
      <c r="G58" s="236"/>
      <c r="H58" s="238">
        <f t="shared" ref="H58:H59" si="22">D58+E58+F58+G58</f>
        <v>3230.0021999999999</v>
      </c>
      <c r="I58" s="247">
        <v>3230</v>
      </c>
      <c r="J58" s="248"/>
      <c r="K58" s="197"/>
    </row>
    <row r="59" spans="1:11" ht="17.399999999999999" customHeight="1">
      <c r="A59" s="15" t="s">
        <v>86</v>
      </c>
      <c r="B59" s="15" t="s">
        <v>87</v>
      </c>
      <c r="C59" s="15" t="s">
        <v>67</v>
      </c>
      <c r="D59" s="17">
        <v>4000</v>
      </c>
      <c r="E59" s="17">
        <v>0</v>
      </c>
      <c r="F59" s="17">
        <v>360</v>
      </c>
      <c r="G59" s="17">
        <v>360</v>
      </c>
      <c r="H59" s="239">
        <f t="shared" si="22"/>
        <v>4720</v>
      </c>
      <c r="I59" s="249"/>
      <c r="J59" s="250"/>
    </row>
    <row r="60" spans="1:11" s="157" customFormat="1" ht="15">
      <c r="A60" s="36" t="s">
        <v>88</v>
      </c>
      <c r="B60" s="36" t="s">
        <v>89</v>
      </c>
      <c r="C60" s="36" t="s">
        <v>90</v>
      </c>
      <c r="D60" s="37">
        <v>92.37</v>
      </c>
      <c r="E60" s="37">
        <v>16.63</v>
      </c>
      <c r="F60" s="37">
        <v>0</v>
      </c>
      <c r="G60" s="37">
        <v>0</v>
      </c>
      <c r="H60" s="240">
        <f t="shared" ref="H60:H70" si="23">D60+E60+F60+G60</f>
        <v>109</v>
      </c>
      <c r="I60" s="251"/>
      <c r="J60" s="252"/>
    </row>
    <row r="61" spans="1:11" ht="15">
      <c r="A61" s="15" t="s">
        <v>91</v>
      </c>
      <c r="B61" s="15" t="s">
        <v>92</v>
      </c>
      <c r="C61" s="15" t="s">
        <v>70</v>
      </c>
      <c r="D61" s="17">
        <v>6100</v>
      </c>
      <c r="E61" s="17">
        <v>1098</v>
      </c>
      <c r="F61" s="17">
        <v>0</v>
      </c>
      <c r="G61" s="17">
        <v>0</v>
      </c>
      <c r="H61" s="239">
        <f t="shared" si="23"/>
        <v>7198</v>
      </c>
      <c r="I61" s="249"/>
      <c r="J61" s="250"/>
    </row>
    <row r="62" spans="1:11" s="157" customFormat="1" ht="15">
      <c r="A62" s="36" t="s">
        <v>93</v>
      </c>
      <c r="B62" s="36" t="s">
        <v>94</v>
      </c>
      <c r="C62" s="36" t="s">
        <v>95</v>
      </c>
      <c r="D62" s="37">
        <v>1738</v>
      </c>
      <c r="E62" s="37">
        <v>0</v>
      </c>
      <c r="F62" s="37">
        <v>156.41999999999999</v>
      </c>
      <c r="G62" s="37">
        <v>156.41999999999999</v>
      </c>
      <c r="H62" s="240">
        <f t="shared" si="23"/>
        <v>2050.84</v>
      </c>
      <c r="I62" s="251"/>
      <c r="J62" s="252"/>
    </row>
    <row r="63" spans="1:11" ht="17.399999999999999" customHeight="1">
      <c r="A63" s="15" t="s">
        <v>57</v>
      </c>
      <c r="B63" s="15" t="s">
        <v>96</v>
      </c>
      <c r="C63" s="15" t="s">
        <v>97</v>
      </c>
      <c r="D63" s="17">
        <v>737.8</v>
      </c>
      <c r="E63" s="17">
        <v>0</v>
      </c>
      <c r="F63" s="17">
        <v>66.400000000000006</v>
      </c>
      <c r="G63" s="17">
        <v>66.400000000000006</v>
      </c>
      <c r="H63" s="239">
        <f t="shared" si="23"/>
        <v>870.6</v>
      </c>
      <c r="I63" s="249"/>
      <c r="J63" s="250"/>
    </row>
    <row r="64" spans="1:11" ht="15">
      <c r="A64" s="15" t="s">
        <v>98</v>
      </c>
      <c r="B64" s="15" t="s">
        <v>99</v>
      </c>
      <c r="C64" s="15" t="s">
        <v>73</v>
      </c>
      <c r="D64" s="17">
        <v>10350</v>
      </c>
      <c r="E64" s="17">
        <v>1863</v>
      </c>
      <c r="F64" s="17">
        <v>0</v>
      </c>
      <c r="G64" s="17">
        <v>0</v>
      </c>
      <c r="H64" s="239">
        <f t="shared" si="23"/>
        <v>12213</v>
      </c>
      <c r="I64" s="249"/>
      <c r="J64" s="250"/>
    </row>
    <row r="65" spans="1:10" s="157" customFormat="1" ht="15">
      <c r="A65" s="36" t="s">
        <v>100</v>
      </c>
      <c r="B65" s="36" t="s">
        <v>101</v>
      </c>
      <c r="C65" s="36" t="s">
        <v>102</v>
      </c>
      <c r="D65" s="37">
        <v>262.70999999999998</v>
      </c>
      <c r="E65" s="37">
        <v>0</v>
      </c>
      <c r="F65" s="37">
        <v>23.64</v>
      </c>
      <c r="G65" s="37">
        <v>23.64</v>
      </c>
      <c r="H65" s="240">
        <f t="shared" si="23"/>
        <v>309.99</v>
      </c>
      <c r="I65" s="251"/>
      <c r="J65" s="252"/>
    </row>
    <row r="66" spans="1:10" s="195" customFormat="1" ht="15">
      <c r="A66" s="15" t="s">
        <v>103</v>
      </c>
      <c r="B66" s="15" t="s">
        <v>104</v>
      </c>
      <c r="C66" s="15" t="s">
        <v>48</v>
      </c>
      <c r="D66" s="17">
        <v>91655</v>
      </c>
      <c r="E66" s="17">
        <v>16497.900000000001</v>
      </c>
      <c r="F66" s="17">
        <v>0</v>
      </c>
      <c r="G66" s="17">
        <v>0</v>
      </c>
      <c r="H66" s="239">
        <f t="shared" si="23"/>
        <v>108152.9</v>
      </c>
      <c r="I66" s="279"/>
      <c r="J66" s="280"/>
    </row>
    <row r="67" spans="1:10" s="195" customFormat="1" ht="15">
      <c r="A67" s="15" t="s">
        <v>91</v>
      </c>
      <c r="B67" s="15" t="s">
        <v>105</v>
      </c>
      <c r="C67" s="15" t="s">
        <v>106</v>
      </c>
      <c r="D67" s="17">
        <v>2470</v>
      </c>
      <c r="E67" s="17"/>
      <c r="F67" s="17">
        <v>9</v>
      </c>
      <c r="G67" s="17">
        <v>9</v>
      </c>
      <c r="H67" s="239">
        <f t="shared" si="23"/>
        <v>2488</v>
      </c>
      <c r="I67" s="279"/>
      <c r="J67" s="281"/>
    </row>
    <row r="68" spans="1:10" s="157" customFormat="1" ht="15">
      <c r="A68" s="36" t="s">
        <v>107</v>
      </c>
      <c r="B68" s="36" t="s">
        <v>108</v>
      </c>
      <c r="C68" s="36" t="s">
        <v>109</v>
      </c>
      <c r="D68" s="37">
        <v>1562.5</v>
      </c>
      <c r="E68" s="37">
        <v>0</v>
      </c>
      <c r="F68" s="37">
        <v>93.75</v>
      </c>
      <c r="G68" s="37">
        <v>93.75</v>
      </c>
      <c r="H68" s="240">
        <f t="shared" si="23"/>
        <v>1750</v>
      </c>
      <c r="I68" s="282"/>
      <c r="J68" s="242"/>
    </row>
    <row r="69" spans="1:10" s="157" customFormat="1" ht="15">
      <c r="A69" s="36" t="s">
        <v>110</v>
      </c>
      <c r="B69" s="36" t="s">
        <v>111</v>
      </c>
      <c r="C69" s="36" t="s">
        <v>109</v>
      </c>
      <c r="D69" s="37">
        <v>878.98</v>
      </c>
      <c r="E69" s="37">
        <v>0</v>
      </c>
      <c r="F69" s="37">
        <v>95.52</v>
      </c>
      <c r="G69" s="37">
        <v>95.52</v>
      </c>
      <c r="H69" s="240">
        <f t="shared" si="23"/>
        <v>1070.02</v>
      </c>
      <c r="I69" s="282"/>
      <c r="J69" s="242"/>
    </row>
    <row r="70" spans="1:10" s="195" customFormat="1" ht="15">
      <c r="A70" s="15" t="s">
        <v>86</v>
      </c>
      <c r="B70" s="15" t="s">
        <v>112</v>
      </c>
      <c r="C70" s="15" t="s">
        <v>113</v>
      </c>
      <c r="D70" s="17">
        <v>4100</v>
      </c>
      <c r="E70" s="17">
        <v>0</v>
      </c>
      <c r="F70" s="17">
        <v>369</v>
      </c>
      <c r="G70" s="17">
        <v>369</v>
      </c>
      <c r="H70" s="239">
        <f t="shared" si="23"/>
        <v>4838</v>
      </c>
      <c r="I70" s="279"/>
      <c r="J70" s="280"/>
    </row>
    <row r="71" spans="1:10" s="195" customFormat="1" ht="15">
      <c r="A71" s="253"/>
      <c r="B71" s="254"/>
      <c r="C71" s="254"/>
      <c r="D71" s="255"/>
      <c r="E71" s="255"/>
      <c r="F71" s="255"/>
      <c r="G71" s="255"/>
      <c r="H71" s="255"/>
      <c r="I71" s="279"/>
      <c r="J71" s="280"/>
    </row>
    <row r="72" spans="1:10" s="195" customFormat="1" ht="21">
      <c r="A72" s="253"/>
      <c r="B72" s="254"/>
      <c r="C72" s="256">
        <v>19475.53</v>
      </c>
      <c r="D72" s="255"/>
      <c r="E72" s="255"/>
      <c r="F72" s="255"/>
      <c r="G72" s="255"/>
      <c r="H72" s="255"/>
      <c r="I72" s="279"/>
      <c r="J72" s="280"/>
    </row>
    <row r="73" spans="1:10" s="195" customFormat="1" ht="15">
      <c r="A73" s="253"/>
      <c r="B73" s="257"/>
      <c r="C73" s="254"/>
      <c r="D73" s="255"/>
      <c r="E73" s="255"/>
      <c r="F73" s="255"/>
      <c r="G73" s="255"/>
      <c r="H73" s="255"/>
      <c r="I73" s="280"/>
      <c r="J73" s="281"/>
    </row>
    <row r="74" spans="1:10" ht="21">
      <c r="A74" s="220"/>
      <c r="B74" s="221"/>
      <c r="C74" s="221"/>
      <c r="D74" s="217"/>
      <c r="E74" s="258"/>
      <c r="F74" s="258"/>
      <c r="G74" s="217"/>
      <c r="H74" s="217"/>
      <c r="I74" s="241"/>
      <c r="J74" s="241"/>
    </row>
    <row r="75" spans="1:10" ht="21">
      <c r="A75" s="311" t="s">
        <v>32</v>
      </c>
      <c r="B75" s="312"/>
      <c r="C75" s="312"/>
      <c r="D75" s="258">
        <f>SUM(D59:D74)</f>
        <v>123947.36</v>
      </c>
      <c r="E75" s="258">
        <f>SUM(E59:E74)</f>
        <v>19475.53</v>
      </c>
      <c r="F75" s="258">
        <f>SUM(F59:F70)</f>
        <v>1173.73</v>
      </c>
      <c r="G75" s="258">
        <f>SUM(G59:G70)</f>
        <v>1173.73</v>
      </c>
      <c r="H75" s="258">
        <f>SUM(H59:H70)</f>
        <v>145770.35</v>
      </c>
      <c r="I75" s="18"/>
      <c r="J75" s="18"/>
    </row>
    <row r="77" spans="1:10" ht="21">
      <c r="A77" s="309" t="s">
        <v>114</v>
      </c>
      <c r="B77" s="309"/>
      <c r="C77" s="309"/>
      <c r="D77" s="309"/>
      <c r="E77" s="309"/>
      <c r="F77" s="309"/>
      <c r="G77" s="309"/>
      <c r="H77" s="309"/>
      <c r="I77" s="309"/>
      <c r="J77" s="309"/>
    </row>
    <row r="78" spans="1:10" ht="21">
      <c r="A78" s="310" t="s">
        <v>12</v>
      </c>
      <c r="B78" s="310"/>
      <c r="C78" s="310"/>
      <c r="D78" s="310"/>
      <c r="E78" s="310"/>
      <c r="F78" s="310"/>
      <c r="G78" s="310"/>
      <c r="H78" s="310"/>
      <c r="I78"/>
      <c r="J78"/>
    </row>
    <row r="79" spans="1:10" ht="29">
      <c r="A79" s="204" t="s">
        <v>13</v>
      </c>
      <c r="B79" s="204" t="s">
        <v>14</v>
      </c>
      <c r="C79" s="204" t="s">
        <v>15</v>
      </c>
      <c r="D79" s="205" t="s">
        <v>16</v>
      </c>
      <c r="E79" s="205" t="s">
        <v>17</v>
      </c>
      <c r="F79" s="205" t="s">
        <v>18</v>
      </c>
      <c r="G79" s="205" t="s">
        <v>19</v>
      </c>
      <c r="H79" s="205" t="s">
        <v>20</v>
      </c>
    </row>
    <row r="80" spans="1:10" ht="15.5">
      <c r="A80" s="259">
        <v>45967</v>
      </c>
      <c r="B80" s="211" t="s">
        <v>115</v>
      </c>
      <c r="C80" s="211" t="s">
        <v>3</v>
      </c>
      <c r="D80" s="209">
        <v>345520</v>
      </c>
      <c r="E80" s="209"/>
      <c r="F80" s="209">
        <f t="shared" ref="F80:F81" si="24">D80*9%</f>
        <v>31096.799999999999</v>
      </c>
      <c r="G80" s="209">
        <f t="shared" ref="G80:G81" si="25">F80</f>
        <v>31096.799999999999</v>
      </c>
      <c r="H80" s="260">
        <f t="shared" ref="H80:H81" si="26">D80+E80+F80+G80</f>
        <v>407713.6</v>
      </c>
    </row>
    <row r="81" spans="1:10" ht="15.5">
      <c r="A81" s="259">
        <v>45967</v>
      </c>
      <c r="B81" s="212" t="s">
        <v>116</v>
      </c>
      <c r="C81" s="211" t="s">
        <v>3</v>
      </c>
      <c r="D81" s="209">
        <v>84210</v>
      </c>
      <c r="E81" s="209"/>
      <c r="F81" s="209">
        <f t="shared" si="24"/>
        <v>7578.9</v>
      </c>
      <c r="G81" s="209">
        <f t="shared" si="25"/>
        <v>7578.9</v>
      </c>
      <c r="H81" s="260">
        <f t="shared" si="26"/>
        <v>99367.8</v>
      </c>
    </row>
    <row r="82" spans="1:10" ht="15.5">
      <c r="A82" s="40" t="s">
        <v>117</v>
      </c>
      <c r="B82" s="27" t="s">
        <v>118</v>
      </c>
      <c r="C82" s="211" t="s">
        <v>3</v>
      </c>
      <c r="D82" s="209">
        <v>213120</v>
      </c>
      <c r="E82" s="209"/>
      <c r="F82" s="209">
        <f t="shared" ref="F82:F83" si="27">D82*9%</f>
        <v>19180.8</v>
      </c>
      <c r="G82" s="209">
        <f t="shared" ref="G82:G83" si="28">F82</f>
        <v>19180.8</v>
      </c>
      <c r="H82" s="260">
        <f t="shared" ref="H82:H83" si="29">D82+E82+F82+G82</f>
        <v>251481.60000000001</v>
      </c>
    </row>
    <row r="83" spans="1:10" ht="15.5">
      <c r="A83" s="40" t="s">
        <v>117</v>
      </c>
      <c r="B83" s="27" t="s">
        <v>119</v>
      </c>
      <c r="C83" s="211" t="s">
        <v>3</v>
      </c>
      <c r="D83" s="209">
        <v>112320</v>
      </c>
      <c r="E83" s="209"/>
      <c r="F83" s="209">
        <f t="shared" si="27"/>
        <v>10108.799999999999</v>
      </c>
      <c r="G83" s="209">
        <f t="shared" si="28"/>
        <v>10108.799999999999</v>
      </c>
      <c r="H83" s="260">
        <f t="shared" si="29"/>
        <v>132537.60000000001</v>
      </c>
    </row>
    <row r="84" spans="1:10" ht="15.5">
      <c r="A84" s="231"/>
      <c r="B84" s="208"/>
      <c r="C84" s="208"/>
      <c r="D84" s="209"/>
      <c r="E84" s="209"/>
      <c r="F84" s="209"/>
      <c r="G84" s="209"/>
      <c r="H84" s="209"/>
    </row>
    <row r="85" spans="1:10" ht="21">
      <c r="A85" s="311" t="s">
        <v>32</v>
      </c>
      <c r="B85" s="312"/>
      <c r="C85" s="312"/>
      <c r="D85" s="213">
        <f>SUM(D80:D84)</f>
        <v>755170</v>
      </c>
      <c r="E85" s="213">
        <f>SUM(E80:E84)</f>
        <v>0</v>
      </c>
      <c r="F85" s="213">
        <f>SUM(F80:F83)</f>
        <v>67965.3</v>
      </c>
      <c r="G85" s="213">
        <f t="shared" ref="G85:H85" si="30">SUM(G80:G83)</f>
        <v>67965.3</v>
      </c>
      <c r="H85" s="213">
        <f t="shared" si="30"/>
        <v>891100.6</v>
      </c>
    </row>
    <row r="86" spans="1:10" ht="21">
      <c r="A86" s="313" t="s">
        <v>33</v>
      </c>
      <c r="B86" s="313"/>
      <c r="C86" s="313"/>
      <c r="D86" s="313"/>
      <c r="E86" s="313"/>
      <c r="F86" s="313"/>
      <c r="G86" s="313"/>
      <c r="H86" s="313"/>
      <c r="I86" s="313"/>
      <c r="J86" s="313"/>
    </row>
    <row r="87" spans="1:10" ht="29">
      <c r="A87" s="204" t="s">
        <v>13</v>
      </c>
      <c r="B87" s="204" t="s">
        <v>34</v>
      </c>
      <c r="C87" s="204" t="s">
        <v>15</v>
      </c>
      <c r="D87" s="205" t="s">
        <v>16</v>
      </c>
      <c r="E87" s="205" t="s">
        <v>35</v>
      </c>
      <c r="F87" s="205" t="s">
        <v>18</v>
      </c>
      <c r="G87" s="205" t="s">
        <v>19</v>
      </c>
      <c r="H87" s="205" t="s">
        <v>20</v>
      </c>
      <c r="I87" s="9" t="s">
        <v>36</v>
      </c>
      <c r="J87" s="9" t="s">
        <v>37</v>
      </c>
    </row>
    <row r="89" spans="1:10">
      <c r="A89" s="15" t="s">
        <v>120</v>
      </c>
      <c r="B89" s="261" t="s">
        <v>121</v>
      </c>
      <c r="C89" s="261" t="s">
        <v>122</v>
      </c>
      <c r="D89" s="17">
        <v>58.47</v>
      </c>
      <c r="E89" s="17">
        <v>10.53</v>
      </c>
      <c r="F89" s="17">
        <v>0</v>
      </c>
      <c r="G89" s="17">
        <v>0</v>
      </c>
      <c r="H89" s="262">
        <f t="shared" ref="H89:H98" si="31">D89+E89+F89+G89</f>
        <v>69</v>
      </c>
      <c r="I89" s="283"/>
      <c r="J89" s="283"/>
    </row>
    <row r="90" spans="1:10">
      <c r="A90" s="15" t="s">
        <v>123</v>
      </c>
      <c r="B90" s="261" t="s">
        <v>124</v>
      </c>
      <c r="C90" s="261" t="s">
        <v>125</v>
      </c>
      <c r="D90" s="17">
        <v>254.24</v>
      </c>
      <c r="E90" s="17">
        <v>0</v>
      </c>
      <c r="F90" s="17">
        <v>22.88</v>
      </c>
      <c r="G90" s="17">
        <v>22.88</v>
      </c>
      <c r="H90" s="262">
        <f t="shared" si="31"/>
        <v>300</v>
      </c>
      <c r="I90" s="283"/>
      <c r="J90" s="283"/>
    </row>
    <row r="92" spans="1:10">
      <c r="A92" s="15" t="s">
        <v>126</v>
      </c>
      <c r="B92" s="261" t="s">
        <v>127</v>
      </c>
      <c r="C92" s="261" t="s">
        <v>64</v>
      </c>
      <c r="D92" s="17">
        <v>140950</v>
      </c>
      <c r="E92" s="17">
        <v>25371</v>
      </c>
      <c r="F92" s="17">
        <v>0</v>
      </c>
      <c r="G92" s="17">
        <v>0</v>
      </c>
      <c r="H92" s="262">
        <f t="shared" si="31"/>
        <v>166321</v>
      </c>
      <c r="I92" s="283"/>
      <c r="J92" s="283"/>
    </row>
    <row r="93" spans="1:10">
      <c r="A93" s="15" t="s">
        <v>128</v>
      </c>
      <c r="B93" s="261" t="s">
        <v>129</v>
      </c>
      <c r="C93" s="261" t="s">
        <v>67</v>
      </c>
      <c r="D93" s="17">
        <v>600</v>
      </c>
      <c r="E93" s="17">
        <v>0</v>
      </c>
      <c r="F93" s="17">
        <v>54</v>
      </c>
      <c r="G93" s="17">
        <v>54</v>
      </c>
      <c r="H93" s="262">
        <f t="shared" si="31"/>
        <v>708</v>
      </c>
      <c r="I93" s="283"/>
      <c r="J93" s="283"/>
    </row>
    <row r="94" spans="1:10">
      <c r="A94" s="15" t="s">
        <v>130</v>
      </c>
      <c r="B94" s="261" t="s">
        <v>131</v>
      </c>
      <c r="C94" s="261" t="s">
        <v>48</v>
      </c>
      <c r="D94" s="17">
        <v>82100</v>
      </c>
      <c r="E94" s="17">
        <v>14778</v>
      </c>
      <c r="F94" s="17">
        <v>0</v>
      </c>
      <c r="G94" s="17">
        <v>0</v>
      </c>
      <c r="H94" s="262">
        <f t="shared" si="31"/>
        <v>96878</v>
      </c>
      <c r="I94" s="283"/>
      <c r="J94" s="283"/>
    </row>
    <row r="95" spans="1:10">
      <c r="A95" s="15" t="s">
        <v>132</v>
      </c>
      <c r="B95" s="261" t="s">
        <v>133</v>
      </c>
      <c r="C95" s="261" t="s">
        <v>48</v>
      </c>
      <c r="D95" s="17">
        <v>145600</v>
      </c>
      <c r="E95" s="17">
        <v>26208</v>
      </c>
      <c r="F95" s="17">
        <v>0</v>
      </c>
      <c r="G95" s="17">
        <v>0</v>
      </c>
      <c r="H95" s="262">
        <f t="shared" si="31"/>
        <v>171808</v>
      </c>
      <c r="I95" s="283"/>
      <c r="J95" s="283"/>
    </row>
    <row r="96" spans="1:10">
      <c r="A96" s="15" t="s">
        <v>134</v>
      </c>
      <c r="B96" s="261" t="s">
        <v>135</v>
      </c>
      <c r="C96" s="261" t="s">
        <v>48</v>
      </c>
      <c r="D96" s="17">
        <v>97925</v>
      </c>
      <c r="E96" s="17">
        <v>17626.5</v>
      </c>
      <c r="F96" s="17">
        <v>0</v>
      </c>
      <c r="G96" s="17">
        <v>0</v>
      </c>
      <c r="H96" s="262">
        <f t="shared" si="31"/>
        <v>115551.5</v>
      </c>
      <c r="I96" s="283"/>
      <c r="J96" s="283"/>
    </row>
    <row r="97" spans="1:11">
      <c r="A97" s="15" t="s">
        <v>136</v>
      </c>
      <c r="B97" s="261" t="s">
        <v>137</v>
      </c>
      <c r="C97" s="261" t="s">
        <v>48</v>
      </c>
      <c r="D97" s="17">
        <v>33675</v>
      </c>
      <c r="E97" s="17">
        <v>6061.5</v>
      </c>
      <c r="F97" s="17">
        <v>0</v>
      </c>
      <c r="G97" s="17">
        <v>0</v>
      </c>
      <c r="H97" s="262">
        <f t="shared" si="31"/>
        <v>39736.5</v>
      </c>
      <c r="I97" s="283"/>
      <c r="J97" s="283"/>
    </row>
    <row r="98" spans="1:11">
      <c r="A98" s="15" t="s">
        <v>138</v>
      </c>
      <c r="B98" s="261" t="s">
        <v>139</v>
      </c>
      <c r="C98" s="261" t="s">
        <v>48</v>
      </c>
      <c r="D98" s="17">
        <v>17000</v>
      </c>
      <c r="E98" s="17">
        <v>3060</v>
      </c>
      <c r="F98" s="17">
        <v>0</v>
      </c>
      <c r="G98" s="17">
        <v>0</v>
      </c>
      <c r="H98" s="262">
        <f t="shared" si="31"/>
        <v>20060</v>
      </c>
      <c r="I98" s="283"/>
      <c r="J98" s="283"/>
    </row>
    <row r="99" spans="1:11">
      <c r="A99" s="15" t="s">
        <v>140</v>
      </c>
      <c r="B99" s="261" t="s">
        <v>141</v>
      </c>
      <c r="C99" s="261" t="s">
        <v>113</v>
      </c>
      <c r="D99" s="17">
        <v>950</v>
      </c>
      <c r="E99" s="17">
        <v>0</v>
      </c>
      <c r="F99" s="17">
        <v>85.5</v>
      </c>
      <c r="G99" s="17">
        <v>85.5</v>
      </c>
      <c r="H99" s="262">
        <f>D99+E99+F99+G99</f>
        <v>1121</v>
      </c>
      <c r="I99" s="283"/>
      <c r="J99" s="283"/>
    </row>
    <row r="100" spans="1:11">
      <c r="A100" s="15" t="s">
        <v>120</v>
      </c>
      <c r="B100" s="261" t="s">
        <v>142</v>
      </c>
      <c r="C100" s="261" t="s">
        <v>143</v>
      </c>
      <c r="D100" s="17">
        <v>17714.060000000001</v>
      </c>
      <c r="E100" s="17">
        <v>4959.9399999999996</v>
      </c>
      <c r="F100" s="17">
        <v>0</v>
      </c>
      <c r="G100" s="17">
        <v>0</v>
      </c>
      <c r="H100" s="262">
        <f>D100+E100+F100+G100</f>
        <v>22674</v>
      </c>
      <c r="I100" s="283"/>
      <c r="J100" s="283"/>
    </row>
    <row r="101" spans="1:11">
      <c r="A101" s="15" t="s">
        <v>120</v>
      </c>
      <c r="B101" s="261" t="s">
        <v>144</v>
      </c>
      <c r="C101" s="261" t="s">
        <v>143</v>
      </c>
      <c r="D101" s="17">
        <v>83.9</v>
      </c>
      <c r="E101" s="17">
        <v>15.1</v>
      </c>
      <c r="F101" s="17">
        <v>0</v>
      </c>
      <c r="G101" s="17">
        <v>0</v>
      </c>
      <c r="H101" s="262">
        <f>D101+E101+F101+G101</f>
        <v>99</v>
      </c>
      <c r="I101" s="283"/>
      <c r="J101" s="283"/>
    </row>
    <row r="102" spans="1:11" ht="15.5">
      <c r="A102" s="263"/>
      <c r="B102" s="212"/>
      <c r="C102" s="212"/>
      <c r="D102" s="35">
        <v>66</v>
      </c>
      <c r="E102" s="35">
        <v>0</v>
      </c>
      <c r="F102" s="35">
        <v>5.94</v>
      </c>
      <c r="G102" s="35">
        <v>5.94</v>
      </c>
      <c r="H102" s="209"/>
      <c r="I102" s="175"/>
      <c r="J102" s="175"/>
    </row>
    <row r="103" spans="1:11" ht="15">
      <c r="A103" s="264"/>
      <c r="B103" s="265"/>
      <c r="C103" s="265"/>
      <c r="D103" s="35">
        <v>100</v>
      </c>
      <c r="E103" s="35">
        <v>0</v>
      </c>
      <c r="F103" s="35">
        <v>9</v>
      </c>
      <c r="G103" s="35">
        <v>9</v>
      </c>
      <c r="H103" s="238"/>
      <c r="I103" s="250"/>
      <c r="J103" s="250"/>
    </row>
    <row r="104" spans="1:11" s="196" customFormat="1" ht="21">
      <c r="A104" s="316" t="s">
        <v>32</v>
      </c>
      <c r="B104" s="317"/>
      <c r="C104" s="317"/>
      <c r="D104" s="266">
        <f>SUM(D88:D103)</f>
        <v>537076.67000000004</v>
      </c>
      <c r="E104" s="266">
        <f>SUM(E88:E103)</f>
        <v>98090.57</v>
      </c>
      <c r="F104" s="266">
        <f>SUM(F88:F103)</f>
        <v>177.32</v>
      </c>
      <c r="G104" s="266">
        <f>SUM(G88:G103)</f>
        <v>177.32</v>
      </c>
      <c r="H104" s="266">
        <f>SUM(H88:H103)</f>
        <v>635326</v>
      </c>
      <c r="I104" s="284"/>
      <c r="J104" s="284"/>
    </row>
    <row r="107" spans="1:11" ht="15.5">
      <c r="A107" s="264"/>
      <c r="B107" s="265"/>
      <c r="C107" s="267" t="s">
        <v>145</v>
      </c>
      <c r="D107" s="238"/>
      <c r="E107" s="238"/>
      <c r="F107" s="238"/>
      <c r="G107" s="238"/>
      <c r="H107" s="238">
        <f>D107+E107+F107+G107</f>
        <v>0</v>
      </c>
      <c r="I107" s="250"/>
      <c r="J107" s="250"/>
      <c r="K107" s="193"/>
    </row>
    <row r="108" spans="1:11" s="197" customFormat="1" ht="15.5">
      <c r="A108" s="234">
        <v>45750</v>
      </c>
      <c r="B108" s="235" t="s">
        <v>38</v>
      </c>
      <c r="C108" s="235" t="s">
        <v>39</v>
      </c>
      <c r="D108" s="255">
        <v>1779.75</v>
      </c>
      <c r="E108" s="255"/>
      <c r="F108" s="268">
        <f t="shared" ref="F108" si="32">D108*9%</f>
        <v>160.17750000000001</v>
      </c>
      <c r="G108" s="268">
        <f t="shared" ref="G108" si="33">F108</f>
        <v>160.17750000000001</v>
      </c>
      <c r="H108" s="268">
        <v>2100</v>
      </c>
      <c r="I108" s="280"/>
      <c r="J108" s="280"/>
    </row>
    <row r="109" spans="1:11" customFormat="1"/>
    <row r="112" spans="1:11">
      <c r="A112" s="15" t="s">
        <v>146</v>
      </c>
      <c r="B112" s="261" t="s">
        <v>147</v>
      </c>
      <c r="C112" s="261" t="s">
        <v>106</v>
      </c>
      <c r="D112" s="17">
        <v>1600</v>
      </c>
      <c r="E112" s="17">
        <v>80</v>
      </c>
      <c r="F112" s="17">
        <v>0</v>
      </c>
      <c r="G112" s="17">
        <v>0</v>
      </c>
      <c r="H112" s="262">
        <f>D112+E112+F112+G112</f>
        <v>1680</v>
      </c>
      <c r="I112" s="283"/>
      <c r="J112" s="283"/>
    </row>
    <row r="113" spans="1:10">
      <c r="A113" s="269"/>
      <c r="B113" s="270"/>
      <c r="C113" s="270"/>
      <c r="D113" s="271"/>
      <c r="E113" s="271"/>
      <c r="F113" s="271"/>
      <c r="G113" s="271"/>
      <c r="H113" s="272"/>
      <c r="I113" s="285"/>
      <c r="J113" s="285"/>
    </row>
    <row r="114" spans="1:10">
      <c r="C114" s="273" t="s">
        <v>148</v>
      </c>
    </row>
    <row r="115" spans="1:10" s="198" customFormat="1">
      <c r="A115" s="274" t="s">
        <v>149</v>
      </c>
      <c r="B115" s="275" t="s">
        <v>150</v>
      </c>
      <c r="C115" s="275" t="s">
        <v>59</v>
      </c>
      <c r="D115" s="276">
        <v>1440.68</v>
      </c>
      <c r="E115" s="276">
        <v>0</v>
      </c>
      <c r="F115" s="276">
        <v>129.66</v>
      </c>
      <c r="G115" s="276">
        <v>129.66</v>
      </c>
      <c r="H115" s="277">
        <f>D115+E115+F115+G115</f>
        <v>1700</v>
      </c>
      <c r="I115" s="286"/>
      <c r="J115" s="287" t="s">
        <v>151</v>
      </c>
    </row>
    <row r="120" spans="1:10">
      <c r="A120" s="139"/>
    </row>
    <row r="121" spans="1:10">
      <c r="A121" s="139"/>
      <c r="D121" s="278"/>
      <c r="E121" s="278"/>
      <c r="F121" s="278"/>
      <c r="G121" s="278"/>
      <c r="H121" s="278"/>
    </row>
  </sheetData>
  <mergeCells count="15">
    <mergeCell ref="A77:J77"/>
    <mergeCell ref="A78:H78"/>
    <mergeCell ref="A85:C85"/>
    <mergeCell ref="A86:J86"/>
    <mergeCell ref="A104:C104"/>
    <mergeCell ref="A48:J48"/>
    <mergeCell ref="A49:H49"/>
    <mergeCell ref="A55:C55"/>
    <mergeCell ref="A56:J56"/>
    <mergeCell ref="A75:C75"/>
    <mergeCell ref="A2:J2"/>
    <mergeCell ref="A3:H3"/>
    <mergeCell ref="A13:C13"/>
    <mergeCell ref="A14:J14"/>
    <mergeCell ref="A45:C45"/>
  </mergeCells>
  <conditionalFormatting sqref="B12">
    <cfRule type="duplicateValues" dxfId="6" priority="3"/>
  </conditionalFormatting>
  <conditionalFormatting sqref="B51:B53">
    <cfRule type="duplicateValues" dxfId="5" priority="2"/>
  </conditionalFormatting>
  <conditionalFormatting sqref="B82:B83">
    <cfRule type="duplicateValues" dxfId="4" priority="1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92"/>
  <sheetViews>
    <sheetView tabSelected="1" topLeftCell="A34" workbookViewId="0">
      <selection activeCell="D40" sqref="D40"/>
    </sheetView>
  </sheetViews>
  <sheetFormatPr defaultColWidth="9" defaultRowHeight="14.5"/>
  <cols>
    <col min="1" max="1" width="13.26953125" customWidth="1"/>
    <col min="2" max="2" width="16.26953125" customWidth="1"/>
    <col min="3" max="3" width="35.90625" customWidth="1"/>
    <col min="4" max="4" width="17.6328125" customWidth="1"/>
    <col min="5" max="5" width="13.54296875" customWidth="1"/>
    <col min="6" max="6" width="16.90625" customWidth="1"/>
    <col min="7" max="7" width="12" customWidth="1"/>
    <col min="8" max="8" width="23.54296875" style="160" customWidth="1"/>
    <col min="9" max="9" width="18.453125" customWidth="1"/>
    <col min="10" max="10" width="17.6328125" customWidth="1"/>
  </cols>
  <sheetData>
    <row r="2" spans="1:10" ht="21">
      <c r="A2" s="309" t="s">
        <v>152</v>
      </c>
      <c r="B2" s="309"/>
      <c r="C2" s="309"/>
      <c r="D2" s="309"/>
      <c r="E2" s="309"/>
      <c r="F2" s="309"/>
      <c r="G2" s="309"/>
      <c r="H2" s="309"/>
      <c r="I2" s="309"/>
      <c r="J2" s="309"/>
    </row>
    <row r="3" spans="1:10" ht="21">
      <c r="A3" s="318" t="s">
        <v>12</v>
      </c>
      <c r="B3" s="318"/>
      <c r="C3" s="318"/>
      <c r="D3" s="318"/>
      <c r="E3" s="318"/>
      <c r="F3" s="318"/>
      <c r="G3" s="318"/>
      <c r="H3" s="318"/>
    </row>
    <row r="4" spans="1:10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 spans="1:10" s="153" customFormat="1">
      <c r="A5" s="136">
        <v>45968</v>
      </c>
      <c r="B5" s="161" t="s">
        <v>153</v>
      </c>
      <c r="C5" s="40" t="s">
        <v>3</v>
      </c>
      <c r="D5" s="153">
        <v>272799</v>
      </c>
      <c r="E5" s="40"/>
      <c r="F5" s="40">
        <f>D5*9%</f>
        <v>24551.91</v>
      </c>
      <c r="G5" s="40">
        <f>F5</f>
        <v>24551.91</v>
      </c>
      <c r="H5" s="162">
        <f t="shared" ref="H5:H6" si="0">D5+E5+F5+G5</f>
        <v>321902.81999999995</v>
      </c>
      <c r="I5" s="177"/>
      <c r="J5" s="177"/>
    </row>
    <row r="6" spans="1:10" s="153" customFormat="1">
      <c r="A6" s="136">
        <v>45968</v>
      </c>
      <c r="B6" s="161" t="s">
        <v>154</v>
      </c>
      <c r="C6" s="40" t="s">
        <v>3</v>
      </c>
      <c r="D6" s="153">
        <v>89985</v>
      </c>
      <c r="E6" s="40"/>
      <c r="F6" s="40">
        <f>D6*9%</f>
        <v>8098.65</v>
      </c>
      <c r="G6" s="40">
        <f>F6</f>
        <v>8098.65</v>
      </c>
      <c r="H6" s="162">
        <f t="shared" si="0"/>
        <v>106182.29999999999</v>
      </c>
      <c r="I6" s="177"/>
      <c r="J6" s="177"/>
    </row>
    <row r="7" spans="1:10" s="154" customFormat="1">
      <c r="A7" s="6"/>
      <c r="B7" s="6"/>
      <c r="C7" s="6"/>
      <c r="D7" s="6"/>
      <c r="E7" s="6"/>
      <c r="F7" s="6"/>
      <c r="G7" s="6"/>
      <c r="H7" s="6">
        <f t="shared" ref="H7:H10" si="1">D7+E7+F7+G7</f>
        <v>0</v>
      </c>
    </row>
    <row r="8" spans="1:10" s="154" customFormat="1">
      <c r="A8" s="6"/>
      <c r="B8" s="6"/>
      <c r="C8" s="6"/>
      <c r="D8" s="6"/>
      <c r="E8" s="6"/>
      <c r="F8" s="6"/>
      <c r="G8" s="6"/>
      <c r="H8" s="6">
        <f t="shared" si="1"/>
        <v>0</v>
      </c>
    </row>
    <row r="9" spans="1:10" s="154" customFormat="1">
      <c r="A9" s="6"/>
      <c r="B9" s="6"/>
      <c r="C9" s="6"/>
      <c r="D9" s="6"/>
      <c r="E9" s="6"/>
      <c r="F9" s="6"/>
      <c r="G9" s="6"/>
      <c r="H9" s="6">
        <f t="shared" si="1"/>
        <v>0</v>
      </c>
    </row>
    <row r="10" spans="1:10" s="154" customFormat="1">
      <c r="A10" s="6"/>
      <c r="B10" s="6"/>
      <c r="C10" s="6"/>
      <c r="D10" s="6"/>
      <c r="E10" s="6"/>
      <c r="F10" s="6"/>
      <c r="G10" s="6"/>
      <c r="H10" s="6">
        <f t="shared" si="1"/>
        <v>0</v>
      </c>
    </row>
    <row r="11" spans="1:10" ht="21">
      <c r="A11" s="319" t="s">
        <v>32</v>
      </c>
      <c r="B11" s="320"/>
      <c r="C11" s="320"/>
      <c r="D11" s="8">
        <f>SUM(D5:D10)</f>
        <v>362784</v>
      </c>
      <c r="E11" s="8">
        <f>SUM(E5:E10)</f>
        <v>0</v>
      </c>
      <c r="F11" s="8">
        <f>SUM(F5:F10)</f>
        <v>32650.559999999998</v>
      </c>
      <c r="G11" s="8">
        <f>SUM(G5:G10)</f>
        <v>32650.559999999998</v>
      </c>
      <c r="H11" s="163">
        <f>SUM(H5:H10)</f>
        <v>428085.11999999994</v>
      </c>
    </row>
    <row r="12" spans="1:10" ht="21">
      <c r="A12" s="321" t="s">
        <v>33</v>
      </c>
      <c r="B12" s="322"/>
      <c r="C12" s="322"/>
      <c r="D12" s="322"/>
      <c r="E12" s="322"/>
      <c r="F12" s="322"/>
      <c r="G12" s="322"/>
      <c r="H12" s="322"/>
      <c r="I12" s="322"/>
      <c r="J12" s="323"/>
    </row>
    <row r="13" spans="1:10">
      <c r="A13" s="9" t="s">
        <v>13</v>
      </c>
      <c r="B13" s="9" t="s">
        <v>34</v>
      </c>
      <c r="C13" s="9" t="s">
        <v>15</v>
      </c>
      <c r="D13" s="9" t="s">
        <v>16</v>
      </c>
      <c r="E13" s="9" t="s">
        <v>35</v>
      </c>
      <c r="F13" s="9" t="s">
        <v>18</v>
      </c>
      <c r="G13" s="9" t="s">
        <v>19</v>
      </c>
      <c r="H13" s="9" t="s">
        <v>20</v>
      </c>
      <c r="I13" s="9" t="s">
        <v>36</v>
      </c>
      <c r="J13" s="9" t="s">
        <v>37</v>
      </c>
    </row>
    <row r="14" spans="1:10" s="155" customFormat="1" ht="15.5">
      <c r="A14" s="164">
        <v>45839</v>
      </c>
      <c r="B14" s="105" t="s">
        <v>155</v>
      </c>
      <c r="C14" s="105" t="s">
        <v>156</v>
      </c>
      <c r="D14" s="105">
        <v>932</v>
      </c>
      <c r="E14" s="105"/>
      <c r="F14" s="165">
        <f t="shared" ref="F14" si="2">D14*9%</f>
        <v>83.88</v>
      </c>
      <c r="G14" s="165">
        <f t="shared" ref="G14" si="3">F14</f>
        <v>83.88</v>
      </c>
      <c r="H14" s="165">
        <f t="shared" ref="H14:H23" si="4">D14+E14+F14+G14</f>
        <v>1099.76</v>
      </c>
      <c r="I14" s="105"/>
      <c r="J14" s="105"/>
    </row>
    <row r="15" spans="1:10" s="154" customFormat="1" ht="15.5">
      <c r="A15" s="166">
        <v>45846</v>
      </c>
      <c r="B15" s="167" t="s">
        <v>157</v>
      </c>
      <c r="C15" s="168" t="s">
        <v>158</v>
      </c>
      <c r="D15" s="169">
        <v>44500</v>
      </c>
      <c r="E15" s="6">
        <v>8010</v>
      </c>
      <c r="F15" s="6"/>
      <c r="G15" s="6"/>
      <c r="H15" s="165">
        <f t="shared" si="4"/>
        <v>52510</v>
      </c>
      <c r="I15" s="6"/>
      <c r="J15" s="6"/>
    </row>
    <row r="16" spans="1:10" s="154" customFormat="1">
      <c r="A16" s="170">
        <v>45907</v>
      </c>
      <c r="B16" s="170" t="s">
        <v>159</v>
      </c>
      <c r="C16" s="6" t="s">
        <v>160</v>
      </c>
      <c r="D16" s="6">
        <v>18880</v>
      </c>
      <c r="E16" s="6"/>
      <c r="F16" s="6">
        <v>1440</v>
      </c>
      <c r="G16" s="6">
        <v>1440</v>
      </c>
      <c r="H16" s="6">
        <v>18880</v>
      </c>
      <c r="I16" s="6"/>
      <c r="J16" s="6"/>
    </row>
    <row r="17" spans="1:10" s="154" customFormat="1">
      <c r="A17" s="297" t="s">
        <v>181</v>
      </c>
      <c r="B17" s="298">
        <v>865</v>
      </c>
      <c r="C17" s="298" t="s">
        <v>182</v>
      </c>
      <c r="D17" s="6">
        <f>15600+600</f>
        <v>16200</v>
      </c>
      <c r="E17" s="6">
        <f>D17*18%</f>
        <v>2916</v>
      </c>
      <c r="F17" s="6"/>
      <c r="G17" s="6"/>
      <c r="H17" s="6">
        <f t="shared" si="4"/>
        <v>19116</v>
      </c>
      <c r="I17" s="6"/>
      <c r="J17" s="6"/>
    </row>
    <row r="18" spans="1:10" s="154" customFormat="1">
      <c r="A18" s="5" t="s">
        <v>183</v>
      </c>
      <c r="B18" s="6" t="s">
        <v>184</v>
      </c>
      <c r="C18" s="6" t="s">
        <v>185</v>
      </c>
      <c r="D18" s="6">
        <v>50748</v>
      </c>
      <c r="E18" s="6">
        <f>D18*18%</f>
        <v>9134.64</v>
      </c>
      <c r="F18" s="6"/>
      <c r="G18" s="6"/>
      <c r="H18" s="6">
        <f t="shared" si="4"/>
        <v>59882.64</v>
      </c>
      <c r="I18" s="6"/>
      <c r="J18" s="6"/>
    </row>
    <row r="19" spans="1:10" s="154" customFormat="1">
      <c r="A19" s="299" t="s">
        <v>186</v>
      </c>
      <c r="B19" s="298">
        <v>872</v>
      </c>
      <c r="C19" s="298" t="s">
        <v>182</v>
      </c>
      <c r="D19" s="6">
        <f>23400+750</f>
        <v>24150</v>
      </c>
      <c r="E19" s="6">
        <f>D19*18%</f>
        <v>4347</v>
      </c>
      <c r="F19" s="6"/>
      <c r="G19" s="6"/>
      <c r="H19" s="6">
        <f t="shared" si="4"/>
        <v>28497</v>
      </c>
      <c r="I19" s="6"/>
      <c r="J19" s="6"/>
    </row>
    <row r="20" spans="1:10" s="154" customFormat="1">
      <c r="A20" s="301" t="s">
        <v>186</v>
      </c>
      <c r="B20" s="300" t="s">
        <v>187</v>
      </c>
      <c r="C20" s="261" t="s">
        <v>48</v>
      </c>
      <c r="D20" s="6">
        <v>19195</v>
      </c>
      <c r="E20" s="6">
        <f t="shared" ref="E20:E23" si="5">D20*18%</f>
        <v>3455.1</v>
      </c>
      <c r="F20" s="6"/>
      <c r="G20" s="6"/>
      <c r="H20" s="6">
        <f t="shared" si="4"/>
        <v>22650.1</v>
      </c>
      <c r="I20" s="6"/>
      <c r="J20" s="6"/>
    </row>
    <row r="21" spans="1:10" s="154" customFormat="1">
      <c r="A21" s="27" t="s">
        <v>181</v>
      </c>
      <c r="B21" s="27" t="s">
        <v>191</v>
      </c>
      <c r="C21" s="139" t="s">
        <v>73</v>
      </c>
      <c r="D21" s="6">
        <f>21900+200</f>
        <v>22100</v>
      </c>
      <c r="E21" s="6">
        <f t="shared" si="5"/>
        <v>3978</v>
      </c>
      <c r="F21" s="6"/>
      <c r="G21" s="6"/>
      <c r="H21" s="6">
        <f t="shared" si="4"/>
        <v>26078</v>
      </c>
      <c r="I21" s="6"/>
      <c r="J21" s="6"/>
    </row>
    <row r="22" spans="1:10" s="154" customFormat="1">
      <c r="A22" s="302" t="s">
        <v>192</v>
      </c>
      <c r="B22" s="302" t="s">
        <v>193</v>
      </c>
      <c r="C22" s="139" t="s">
        <v>73</v>
      </c>
      <c r="D22" s="6">
        <f>23400+100</f>
        <v>23500</v>
      </c>
      <c r="E22" s="6">
        <f t="shared" si="5"/>
        <v>4230</v>
      </c>
      <c r="F22" s="6"/>
      <c r="G22" s="6"/>
      <c r="H22" s="6">
        <f t="shared" si="4"/>
        <v>27730</v>
      </c>
      <c r="I22" s="6"/>
      <c r="J22" s="6"/>
    </row>
    <row r="23" spans="1:10" s="154" customFormat="1">
      <c r="A23" s="308" t="s">
        <v>194</v>
      </c>
      <c r="B23" s="308" t="s">
        <v>195</v>
      </c>
      <c r="C23" s="7" t="s">
        <v>196</v>
      </c>
      <c r="D23" s="6">
        <v>3900</v>
      </c>
      <c r="E23" s="6">
        <f t="shared" si="5"/>
        <v>702</v>
      </c>
      <c r="F23" s="6"/>
      <c r="G23" s="6"/>
      <c r="H23" s="6">
        <f t="shared" si="4"/>
        <v>4602</v>
      </c>
      <c r="I23" s="6"/>
      <c r="J23" s="6"/>
    </row>
    <row r="24" spans="1:10" s="156" customFormat="1">
      <c r="A24" s="171"/>
      <c r="B24" s="171"/>
      <c r="C24" s="106" t="s">
        <v>161</v>
      </c>
      <c r="D24" s="106"/>
      <c r="E24" s="106"/>
      <c r="F24" s="106"/>
      <c r="G24" s="106"/>
      <c r="H24" s="106"/>
      <c r="I24" s="106"/>
      <c r="J24" s="106"/>
    </row>
    <row r="25" spans="1:10" s="157" customFormat="1" ht="15.5">
      <c r="A25" s="172" t="s">
        <v>162</v>
      </c>
      <c r="B25" s="173" t="s">
        <v>163</v>
      </c>
      <c r="C25" s="173" t="s">
        <v>164</v>
      </c>
      <c r="D25" s="174">
        <f>8955.76+5566</f>
        <v>14521.76</v>
      </c>
      <c r="E25" s="174"/>
      <c r="F25" s="174">
        <f>500.94+666.39+217.22</f>
        <v>1384.55</v>
      </c>
      <c r="G25" s="174">
        <f>F25</f>
        <v>1384.55</v>
      </c>
      <c r="H25" s="174">
        <f>D25+E25+F25+G25</f>
        <v>17290.86</v>
      </c>
      <c r="I25" s="178"/>
      <c r="J25" s="178"/>
    </row>
    <row r="26" spans="1:10" s="154" customFormat="1">
      <c r="A26" s="170"/>
      <c r="B26" s="170"/>
      <c r="C26" s="6"/>
      <c r="D26" s="6"/>
      <c r="E26" s="6"/>
      <c r="F26" s="6"/>
      <c r="G26" s="6"/>
      <c r="H26" s="6"/>
      <c r="I26" s="6"/>
      <c r="J26" s="6"/>
    </row>
    <row r="27" spans="1:10" s="154" customFormat="1">
      <c r="A27" s="6"/>
      <c r="B27" s="6"/>
      <c r="C27" s="6"/>
      <c r="D27" s="6"/>
      <c r="E27" s="6"/>
      <c r="F27" s="6"/>
      <c r="G27" s="6"/>
      <c r="H27" s="6">
        <f>D27+E27+F27+G27</f>
        <v>0</v>
      </c>
      <c r="I27" s="6"/>
      <c r="J27" s="6"/>
    </row>
    <row r="28" spans="1:10" s="154" customFormat="1">
      <c r="A28" s="6"/>
      <c r="B28" s="6"/>
      <c r="C28" s="6"/>
      <c r="D28" s="6"/>
      <c r="E28" s="6"/>
      <c r="F28" s="6"/>
      <c r="G28" s="6"/>
      <c r="H28" s="6">
        <f t="shared" ref="H28:H31" si="6">D28+E28+F28+G28</f>
        <v>0</v>
      </c>
      <c r="I28" s="6"/>
      <c r="J28" s="6"/>
    </row>
    <row r="29" spans="1:10" s="154" customFormat="1">
      <c r="A29" s="6"/>
      <c r="B29" s="6"/>
      <c r="C29" s="6"/>
      <c r="D29" s="6"/>
      <c r="E29" s="6"/>
      <c r="F29" s="6"/>
      <c r="G29" s="6"/>
      <c r="H29" s="6">
        <f t="shared" si="6"/>
        <v>0</v>
      </c>
      <c r="I29" s="6"/>
      <c r="J29" s="6"/>
    </row>
    <row r="30" spans="1:10" s="154" customFormat="1">
      <c r="A30" s="6"/>
      <c r="B30" s="6"/>
      <c r="C30" s="6"/>
      <c r="D30" s="6"/>
      <c r="E30" s="6"/>
      <c r="F30" s="6"/>
      <c r="G30" s="6"/>
      <c r="H30" s="6">
        <f t="shared" si="6"/>
        <v>0</v>
      </c>
      <c r="I30" s="6"/>
      <c r="J30" s="6"/>
    </row>
    <row r="31" spans="1:10" s="154" customFormat="1">
      <c r="A31" s="6"/>
      <c r="B31" s="6"/>
      <c r="C31" s="6"/>
      <c r="D31" s="6"/>
      <c r="E31" s="6"/>
      <c r="F31" s="6"/>
      <c r="G31" s="6"/>
      <c r="H31" s="6">
        <f t="shared" si="6"/>
        <v>0</v>
      </c>
      <c r="I31" s="6"/>
      <c r="J31" s="6"/>
    </row>
    <row r="32" spans="1:10" s="154" customFormat="1" ht="21">
      <c r="A32" s="324" t="s">
        <v>32</v>
      </c>
      <c r="B32" s="325"/>
      <c r="C32" s="325"/>
      <c r="D32" s="152">
        <f>SUM(D14:D31)</f>
        <v>238626.76</v>
      </c>
      <c r="E32" s="152">
        <f>SUM(E14:E31)</f>
        <v>36772.74</v>
      </c>
      <c r="F32" s="152">
        <f>SUM(F14:F31)</f>
        <v>2908.4300000000003</v>
      </c>
      <c r="G32" s="152">
        <f>SUM(G14:G31)</f>
        <v>2908.4300000000003</v>
      </c>
      <c r="H32" s="152">
        <f>SUM(H14:H31)</f>
        <v>278336.36000000004</v>
      </c>
      <c r="I32" s="152"/>
      <c r="J32" s="152"/>
    </row>
    <row r="33" spans="1:10" s="154" customFormat="1"/>
    <row r="34" spans="1:10" s="154" customFormat="1" ht="21">
      <c r="A34" s="326" t="s">
        <v>165</v>
      </c>
      <c r="B34" s="326"/>
      <c r="C34" s="326"/>
      <c r="D34" s="326"/>
      <c r="E34" s="326"/>
      <c r="F34" s="326"/>
      <c r="G34" s="326"/>
      <c r="H34" s="326"/>
      <c r="I34" s="326"/>
      <c r="J34" s="326"/>
    </row>
    <row r="35" spans="1:10" s="154" customFormat="1" ht="21">
      <c r="A35" s="327" t="s">
        <v>12</v>
      </c>
      <c r="B35" s="327"/>
      <c r="C35" s="327"/>
      <c r="D35" s="327"/>
      <c r="E35" s="327"/>
      <c r="F35" s="327"/>
      <c r="G35" s="327"/>
      <c r="H35" s="327"/>
    </row>
    <row r="36" spans="1:10" s="154" customFormat="1">
      <c r="A36" s="51" t="s">
        <v>13</v>
      </c>
      <c r="B36" s="51" t="s">
        <v>14</v>
      </c>
      <c r="C36" s="51" t="s">
        <v>15</v>
      </c>
      <c r="D36" s="51" t="s">
        <v>16</v>
      </c>
      <c r="E36" s="51" t="s">
        <v>17</v>
      </c>
      <c r="F36" s="51" t="s">
        <v>18</v>
      </c>
      <c r="G36" s="51" t="s">
        <v>19</v>
      </c>
      <c r="H36" s="51" t="s">
        <v>20</v>
      </c>
    </row>
    <row r="37" spans="1:10" s="154" customFormat="1" ht="15.5">
      <c r="A37" s="136">
        <v>45665</v>
      </c>
      <c r="B37" s="302" t="s">
        <v>188</v>
      </c>
      <c r="C37" s="40" t="s">
        <v>3</v>
      </c>
      <c r="D37" s="304">
        <v>41732</v>
      </c>
      <c r="E37" s="305"/>
      <c r="F37" s="303">
        <f t="shared" ref="F37" si="7">D37*9%</f>
        <v>3755.8799999999997</v>
      </c>
      <c r="G37" s="303">
        <f t="shared" ref="G37" si="8">F37</f>
        <v>3755.8799999999997</v>
      </c>
      <c r="H37" s="303">
        <f t="shared" ref="H37" si="9">D37+E37+F37+G37</f>
        <v>49243.759999999995</v>
      </c>
    </row>
    <row r="38" spans="1:10" s="154" customFormat="1" ht="15.5">
      <c r="A38" s="136">
        <v>45665</v>
      </c>
      <c r="B38" s="302" t="s">
        <v>189</v>
      </c>
      <c r="C38" s="40" t="s">
        <v>3</v>
      </c>
      <c r="D38" s="306">
        <v>160549</v>
      </c>
      <c r="E38" s="305"/>
      <c r="F38" s="303">
        <f t="shared" ref="F38:F39" si="10">D38*9%</f>
        <v>14449.41</v>
      </c>
      <c r="G38" s="303">
        <f t="shared" ref="G38:G39" si="11">F38</f>
        <v>14449.41</v>
      </c>
      <c r="H38" s="303">
        <f t="shared" ref="H38:H39" si="12">D38+E38+F38+G38</f>
        <v>189447.82</v>
      </c>
    </row>
    <row r="39" spans="1:10" s="154" customFormat="1" ht="15.5">
      <c r="A39" s="136">
        <v>45665</v>
      </c>
      <c r="B39" s="302" t="s">
        <v>190</v>
      </c>
      <c r="C39" s="40" t="s">
        <v>3</v>
      </c>
      <c r="D39" s="307">
        <v>226320</v>
      </c>
      <c r="E39" s="305"/>
      <c r="F39" s="303">
        <f t="shared" si="10"/>
        <v>20368.8</v>
      </c>
      <c r="G39" s="303">
        <f t="shared" si="11"/>
        <v>20368.8</v>
      </c>
      <c r="H39" s="303">
        <f t="shared" si="12"/>
        <v>267057.59999999998</v>
      </c>
    </row>
    <row r="40" spans="1:10" s="154" customFormat="1">
      <c r="A40" s="170"/>
      <c r="B40" s="364" t="s">
        <v>201</v>
      </c>
      <c r="C40" s="40" t="s">
        <v>3</v>
      </c>
      <c r="D40" s="6"/>
      <c r="E40" s="6"/>
      <c r="F40" s="6"/>
      <c r="G40" s="6"/>
      <c r="H40" s="6"/>
    </row>
    <row r="41" spans="1:10" s="154" customFormat="1">
      <c r="A41" s="6"/>
      <c r="B41" s="364" t="s">
        <v>202</v>
      </c>
      <c r="C41" s="40" t="s">
        <v>3</v>
      </c>
      <c r="D41" s="6"/>
      <c r="E41" s="6"/>
      <c r="F41" s="6"/>
      <c r="G41" s="6"/>
      <c r="H41" s="6">
        <f t="shared" ref="H41:H42" si="13">D41+E41+F41+G41</f>
        <v>0</v>
      </c>
    </row>
    <row r="42" spans="1:10" s="154" customFormat="1">
      <c r="A42" s="6"/>
      <c r="B42" s="6"/>
      <c r="C42" s="6"/>
      <c r="D42" s="6"/>
      <c r="E42" s="6"/>
      <c r="F42" s="6"/>
      <c r="G42" s="6"/>
      <c r="H42" s="6">
        <f t="shared" si="13"/>
        <v>0</v>
      </c>
    </row>
    <row r="43" spans="1:10" s="154" customFormat="1" ht="21">
      <c r="A43" s="328" t="s">
        <v>32</v>
      </c>
      <c r="B43" s="329"/>
      <c r="C43" s="329"/>
      <c r="D43" s="176">
        <f>SUM(D37:D42)</f>
        <v>428601</v>
      </c>
      <c r="E43" s="176">
        <f>SUM(E37:E42)</f>
        <v>0</v>
      </c>
      <c r="F43" s="176">
        <f>SUM(F37:F42)</f>
        <v>38574.089999999997</v>
      </c>
      <c r="G43" s="176">
        <f>SUM(G37:G42)</f>
        <v>38574.089999999997</v>
      </c>
      <c r="H43" s="176">
        <f>SUM(H37:H42)</f>
        <v>505749.18</v>
      </c>
    </row>
    <row r="44" spans="1:10" s="154" customFormat="1" ht="21">
      <c r="A44" s="330" t="s">
        <v>33</v>
      </c>
      <c r="B44" s="331"/>
      <c r="C44" s="331"/>
      <c r="D44" s="331"/>
      <c r="E44" s="331"/>
      <c r="F44" s="331"/>
      <c r="G44" s="331"/>
      <c r="H44" s="331"/>
      <c r="I44" s="331"/>
      <c r="J44" s="332"/>
    </row>
    <row r="45" spans="1:10" s="154" customFormat="1">
      <c r="A45" s="51" t="s">
        <v>13</v>
      </c>
      <c r="B45" s="51" t="s">
        <v>34</v>
      </c>
      <c r="C45" s="51" t="s">
        <v>15</v>
      </c>
      <c r="D45" s="51" t="s">
        <v>16</v>
      </c>
      <c r="E45" s="51" t="s">
        <v>35</v>
      </c>
      <c r="F45" s="51" t="s">
        <v>18</v>
      </c>
      <c r="G45" s="51" t="s">
        <v>19</v>
      </c>
      <c r="H45" s="51" t="s">
        <v>20</v>
      </c>
      <c r="I45" s="51" t="s">
        <v>36</v>
      </c>
      <c r="J45" s="51" t="s">
        <v>37</v>
      </c>
    </row>
    <row r="46" spans="1:10" s="154" customFormat="1">
      <c r="A46" s="5">
        <v>45876</v>
      </c>
      <c r="B46" s="6" t="s">
        <v>197</v>
      </c>
      <c r="C46" s="7" t="s">
        <v>198</v>
      </c>
      <c r="D46" s="6">
        <v>41970</v>
      </c>
      <c r="E46" s="6">
        <f t="shared" ref="E46:E47" si="14">D46*18%</f>
        <v>7554.5999999999995</v>
      </c>
      <c r="F46" s="6"/>
      <c r="G46" s="6"/>
      <c r="H46" s="6">
        <f t="shared" ref="H46:H47" si="15">D46+E46+F46+G46</f>
        <v>49524.6</v>
      </c>
      <c r="I46" s="6"/>
      <c r="J46" s="6"/>
    </row>
    <row r="47" spans="1:10" s="154" customFormat="1">
      <c r="A47" s="5" t="s">
        <v>199</v>
      </c>
      <c r="B47" s="6" t="s">
        <v>200</v>
      </c>
      <c r="C47" s="7" t="s">
        <v>198</v>
      </c>
      <c r="D47" s="6">
        <v>28715</v>
      </c>
      <c r="E47" s="6">
        <f t="shared" si="14"/>
        <v>5168.7</v>
      </c>
      <c r="F47" s="6"/>
      <c r="G47" s="6"/>
      <c r="H47" s="6">
        <f t="shared" si="15"/>
        <v>33883.699999999997</v>
      </c>
    </row>
    <row r="48" spans="1:10" s="154" customFormat="1">
      <c r="A48" s="170"/>
      <c r="B48" s="170"/>
      <c r="C48" s="6"/>
      <c r="D48" s="6"/>
      <c r="E48" s="6"/>
      <c r="F48" s="6"/>
      <c r="G48" s="6"/>
      <c r="H48" s="6"/>
    </row>
    <row r="49" spans="1:10" s="154" customFormat="1">
      <c r="A49" s="170"/>
      <c r="B49" s="170"/>
      <c r="C49" s="6"/>
      <c r="D49" s="6"/>
      <c r="E49" s="6"/>
      <c r="F49" s="6"/>
      <c r="G49" s="6"/>
      <c r="H49" s="6"/>
    </row>
    <row r="50" spans="1:10" s="154" customFormat="1">
      <c r="A50" s="170"/>
      <c r="B50" s="170"/>
      <c r="C50" s="6"/>
      <c r="D50" s="6"/>
      <c r="E50" s="6"/>
      <c r="F50" s="6"/>
      <c r="G50" s="6"/>
      <c r="H50" s="6"/>
    </row>
    <row r="51" spans="1:10" s="154" customFormat="1">
      <c r="A51" s="170"/>
      <c r="B51" s="170"/>
      <c r="C51" s="6"/>
      <c r="D51" s="6"/>
      <c r="E51" s="6"/>
      <c r="F51" s="6"/>
      <c r="G51" s="6"/>
      <c r="H51" s="6"/>
    </row>
    <row r="52" spans="1:10" s="154" customFormat="1">
      <c r="A52" s="170"/>
      <c r="B52" s="170"/>
      <c r="C52" s="6"/>
      <c r="D52" s="6"/>
      <c r="E52" s="6"/>
      <c r="F52" s="6"/>
      <c r="G52" s="6"/>
      <c r="H52" s="6"/>
    </row>
    <row r="53" spans="1:10" s="154" customFormat="1">
      <c r="A53" s="170"/>
      <c r="B53" s="170"/>
      <c r="C53" s="6"/>
      <c r="D53" s="6"/>
      <c r="E53" s="6"/>
      <c r="F53" s="6"/>
      <c r="G53" s="6"/>
      <c r="H53" s="6"/>
    </row>
    <row r="54" spans="1:10" s="154" customFormat="1">
      <c r="A54" s="170"/>
      <c r="B54" s="170"/>
      <c r="C54" s="6"/>
      <c r="D54" s="6"/>
      <c r="E54" s="6"/>
      <c r="F54" s="6"/>
      <c r="G54" s="6"/>
      <c r="H54" s="6"/>
      <c r="I54" s="6"/>
      <c r="J54" s="6"/>
    </row>
    <row r="55" spans="1:10" s="154" customFormat="1">
      <c r="A55" s="6"/>
      <c r="B55" s="6"/>
      <c r="C55" s="6"/>
      <c r="D55" s="6"/>
      <c r="E55" s="6"/>
      <c r="F55" s="6"/>
      <c r="G55" s="6"/>
      <c r="H55" s="6">
        <f t="shared" ref="H55:H58" si="16">D55+E55+F55+G55</f>
        <v>0</v>
      </c>
      <c r="I55" s="6"/>
      <c r="J55" s="6"/>
    </row>
    <row r="56" spans="1:10" s="154" customFormat="1">
      <c r="A56" s="6"/>
      <c r="B56" s="6"/>
      <c r="C56" s="6"/>
      <c r="D56" s="6"/>
      <c r="E56" s="6"/>
      <c r="F56" s="6"/>
      <c r="G56" s="6"/>
      <c r="H56" s="6">
        <f t="shared" si="16"/>
        <v>0</v>
      </c>
      <c r="I56" s="6"/>
      <c r="J56" s="6"/>
    </row>
    <row r="57" spans="1:10" s="154" customFormat="1">
      <c r="A57" s="6"/>
      <c r="B57" s="6"/>
      <c r="C57" s="6"/>
      <c r="D57" s="6"/>
      <c r="E57" s="6"/>
      <c r="F57" s="6"/>
      <c r="G57" s="6"/>
      <c r="H57" s="6">
        <f t="shared" si="16"/>
        <v>0</v>
      </c>
      <c r="I57" s="6"/>
      <c r="J57" s="6"/>
    </row>
    <row r="58" spans="1:10" s="154" customFormat="1">
      <c r="A58" s="6"/>
      <c r="B58" s="6"/>
      <c r="C58" s="6"/>
      <c r="D58" s="6"/>
      <c r="E58" s="6"/>
      <c r="F58" s="6"/>
      <c r="G58" s="6"/>
      <c r="H58" s="6">
        <f t="shared" si="16"/>
        <v>0</v>
      </c>
      <c r="I58" s="6"/>
      <c r="J58" s="6"/>
    </row>
    <row r="59" spans="1:10" ht="21">
      <c r="A59" s="333" t="s">
        <v>32</v>
      </c>
      <c r="B59" s="334"/>
      <c r="C59" s="334"/>
      <c r="D59" s="18">
        <f>SUM(D46:D58)</f>
        <v>70685</v>
      </c>
      <c r="E59" s="18">
        <f>SUM(E46:E58)</f>
        <v>12723.3</v>
      </c>
      <c r="F59" s="18">
        <f>SUM(F46:F58)</f>
        <v>0</v>
      </c>
      <c r="G59" s="18">
        <f>SUM(G46:G58)</f>
        <v>0</v>
      </c>
      <c r="H59" s="18">
        <f>SUM(H46:H58)</f>
        <v>83408.299999999988</v>
      </c>
      <c r="I59" s="18"/>
      <c r="J59" s="18"/>
    </row>
    <row r="61" spans="1:10" ht="21">
      <c r="A61" s="309" t="s">
        <v>166</v>
      </c>
      <c r="B61" s="309"/>
      <c r="C61" s="309"/>
      <c r="D61" s="309"/>
      <c r="E61" s="309"/>
      <c r="F61" s="309"/>
      <c r="G61" s="309"/>
      <c r="H61" s="309"/>
      <c r="I61" s="309"/>
      <c r="J61" s="309"/>
    </row>
    <row r="62" spans="1:10" ht="21">
      <c r="A62" s="318" t="s">
        <v>12</v>
      </c>
      <c r="B62" s="318"/>
      <c r="C62" s="318"/>
      <c r="D62" s="318"/>
      <c r="E62" s="318"/>
      <c r="F62" s="318"/>
      <c r="G62" s="318"/>
      <c r="H62" s="318"/>
    </row>
    <row r="63" spans="1:10">
      <c r="A63" s="9" t="s">
        <v>13</v>
      </c>
      <c r="B63" s="9" t="s">
        <v>14</v>
      </c>
      <c r="C63" s="9" t="s">
        <v>15</v>
      </c>
      <c r="D63" s="9" t="s">
        <v>16</v>
      </c>
      <c r="E63" s="9" t="s">
        <v>17</v>
      </c>
      <c r="F63" s="9" t="s">
        <v>18</v>
      </c>
      <c r="G63" s="9" t="s">
        <v>19</v>
      </c>
      <c r="H63" s="9" t="s">
        <v>20</v>
      </c>
    </row>
    <row r="64" spans="1:10" s="48" customFormat="1" ht="18" customHeight="1">
      <c r="A64" s="41"/>
      <c r="B64" s="41"/>
      <c r="C64" s="99"/>
      <c r="D64" s="41"/>
      <c r="E64" s="41"/>
      <c r="F64" s="41"/>
      <c r="G64" s="41"/>
      <c r="H64" s="41"/>
    </row>
    <row r="65" spans="1:10" s="154" customFormat="1" ht="15.5">
      <c r="A65" s="6"/>
      <c r="B65" s="6"/>
      <c r="C65" s="175"/>
      <c r="D65" s="6"/>
      <c r="E65" s="6"/>
      <c r="F65" s="6"/>
      <c r="G65" s="6"/>
      <c r="H65" s="6"/>
    </row>
    <row r="66" spans="1:10" s="154" customFormat="1" ht="15.5">
      <c r="A66" s="6"/>
      <c r="B66" s="6"/>
      <c r="C66" s="175"/>
      <c r="D66" s="6"/>
      <c r="E66" s="6"/>
      <c r="F66" s="6"/>
      <c r="G66" s="6"/>
      <c r="H66" s="6"/>
    </row>
    <row r="67" spans="1:10" s="154" customFormat="1">
      <c r="A67" s="6"/>
      <c r="B67" s="6"/>
      <c r="C67" s="6"/>
      <c r="D67" s="6"/>
      <c r="E67" s="6"/>
      <c r="F67" s="6">
        <f t="shared" ref="F67:F68" si="17">D67*9%</f>
        <v>0</v>
      </c>
      <c r="G67" s="6">
        <f t="shared" ref="G67:G68" si="18">F67</f>
        <v>0</v>
      </c>
      <c r="H67" s="6">
        <f t="shared" ref="H67:H68" si="19">D67+E67+F67+G67</f>
        <v>0</v>
      </c>
    </row>
    <row r="68" spans="1:10" s="154" customFormat="1">
      <c r="A68" s="6"/>
      <c r="B68" s="6"/>
      <c r="C68" s="6"/>
      <c r="D68" s="6"/>
      <c r="E68" s="6"/>
      <c r="F68" s="6">
        <f t="shared" si="17"/>
        <v>0</v>
      </c>
      <c r="G68" s="6">
        <f t="shared" si="18"/>
        <v>0</v>
      </c>
      <c r="H68" s="6">
        <f t="shared" si="19"/>
        <v>0</v>
      </c>
    </row>
    <row r="69" spans="1:10" ht="21">
      <c r="A69" s="319" t="s">
        <v>32</v>
      </c>
      <c r="B69" s="320"/>
      <c r="C69" s="320"/>
      <c r="D69" s="8">
        <f>SUM(D64:D68)</f>
        <v>0</v>
      </c>
      <c r="E69" s="8">
        <f>SUM(E64:E68)</f>
        <v>0</v>
      </c>
      <c r="F69" s="8">
        <f>SUM(F64:F68)</f>
        <v>0</v>
      </c>
      <c r="G69" s="8">
        <f>SUM(G64:G68)</f>
        <v>0</v>
      </c>
      <c r="H69" s="8">
        <f>SUM(H64:H68)</f>
        <v>0</v>
      </c>
    </row>
    <row r="70" spans="1:10" ht="21">
      <c r="A70" s="321" t="s">
        <v>33</v>
      </c>
      <c r="B70" s="322"/>
      <c r="C70" s="322"/>
      <c r="D70" s="322"/>
      <c r="E70" s="322"/>
      <c r="F70" s="322"/>
      <c r="G70" s="322"/>
      <c r="H70" s="322"/>
      <c r="I70" s="322"/>
      <c r="J70" s="323"/>
    </row>
    <row r="71" spans="1:10">
      <c r="A71" s="9" t="s">
        <v>13</v>
      </c>
      <c r="B71" s="9" t="s">
        <v>34</v>
      </c>
      <c r="C71" s="9" t="s">
        <v>15</v>
      </c>
      <c r="D71" s="9" t="s">
        <v>16</v>
      </c>
      <c r="E71" s="9" t="s">
        <v>35</v>
      </c>
      <c r="F71" s="9" t="s">
        <v>18</v>
      </c>
      <c r="G71" s="9" t="s">
        <v>19</v>
      </c>
      <c r="H71" s="9" t="s">
        <v>20</v>
      </c>
      <c r="I71" s="9" t="s">
        <v>36</v>
      </c>
      <c r="J71" s="9" t="s">
        <v>37</v>
      </c>
    </row>
    <row r="72" spans="1:10">
      <c r="A72" s="15"/>
      <c r="B72" s="15"/>
      <c r="C72" s="15"/>
      <c r="D72" s="179"/>
      <c r="E72" s="179"/>
      <c r="F72" s="179"/>
      <c r="G72" s="180"/>
      <c r="H72" s="27"/>
      <c r="I72" s="7"/>
      <c r="J72" s="139"/>
    </row>
    <row r="73" spans="1:10">
      <c r="A73" s="15"/>
      <c r="B73" s="15"/>
      <c r="C73" s="15"/>
      <c r="D73" s="179"/>
      <c r="E73" s="179"/>
      <c r="F73" s="179"/>
      <c r="G73" s="180"/>
      <c r="H73" s="27"/>
      <c r="I73" s="7"/>
      <c r="J73" s="139"/>
    </row>
    <row r="74" spans="1:10">
      <c r="A74" s="15"/>
      <c r="B74" s="15"/>
      <c r="C74" s="15"/>
      <c r="D74" s="179"/>
      <c r="E74" s="179"/>
      <c r="F74" s="179"/>
      <c r="G74" s="180"/>
      <c r="H74" s="27"/>
      <c r="I74" s="7"/>
      <c r="J74" s="139"/>
    </row>
    <row r="75" spans="1:10">
      <c r="A75" s="15"/>
      <c r="B75" s="15"/>
      <c r="C75" s="15"/>
      <c r="D75" s="179"/>
      <c r="E75" s="179"/>
      <c r="F75" s="179"/>
      <c r="G75" s="180"/>
      <c r="H75" s="27"/>
      <c r="I75" s="7"/>
      <c r="J75" s="139"/>
    </row>
    <row r="76" spans="1:10">
      <c r="A76" s="15"/>
      <c r="B76" s="15"/>
      <c r="C76" s="15"/>
      <c r="D76" s="179"/>
      <c r="E76" s="179"/>
      <c r="F76" s="179"/>
      <c r="G76" s="180"/>
      <c r="H76" s="27"/>
      <c r="I76" s="7"/>
      <c r="J76" s="139"/>
    </row>
    <row r="77" spans="1:10">
      <c r="A77" s="15"/>
      <c r="B77" s="15"/>
      <c r="C77" s="15"/>
      <c r="D77" s="179"/>
      <c r="E77" s="179"/>
      <c r="F77" s="179"/>
      <c r="G77" s="180"/>
      <c r="H77" s="27"/>
      <c r="I77" s="7"/>
      <c r="J77" s="139"/>
    </row>
    <row r="78" spans="1:10">
      <c r="A78" s="15"/>
      <c r="B78" s="15"/>
      <c r="C78" s="15"/>
      <c r="D78" s="179"/>
      <c r="E78" s="179"/>
      <c r="F78" s="179"/>
      <c r="G78" s="180"/>
      <c r="H78" s="27"/>
      <c r="I78" s="7"/>
      <c r="J78" s="139"/>
    </row>
    <row r="79" spans="1:10">
      <c r="A79" s="15"/>
      <c r="B79" s="15"/>
      <c r="C79" s="15"/>
      <c r="D79" s="179"/>
      <c r="E79" s="179"/>
      <c r="F79" s="179"/>
      <c r="G79" s="180"/>
      <c r="H79" s="27"/>
      <c r="I79" s="7"/>
      <c r="J79" s="139"/>
    </row>
    <row r="80" spans="1:10">
      <c r="A80" s="15"/>
      <c r="B80" s="15"/>
      <c r="C80" s="15"/>
      <c r="D80" s="179"/>
      <c r="E80" s="179"/>
      <c r="F80" s="179"/>
      <c r="G80" s="180"/>
      <c r="H80" s="27"/>
      <c r="I80" s="7"/>
      <c r="J80" s="139"/>
    </row>
    <row r="81" spans="1:10">
      <c r="A81" s="15"/>
      <c r="B81" s="15"/>
      <c r="C81" s="15"/>
      <c r="D81" s="179"/>
      <c r="E81" s="179"/>
      <c r="F81" s="179"/>
      <c r="G81" s="180"/>
      <c r="H81" s="27"/>
      <c r="I81" s="7"/>
      <c r="J81" s="139"/>
    </row>
    <row r="82" spans="1:10">
      <c r="A82" s="15"/>
      <c r="B82" s="15"/>
      <c r="C82" s="15"/>
      <c r="D82" s="179"/>
      <c r="E82" s="179"/>
      <c r="F82" s="179"/>
      <c r="G82" s="180"/>
      <c r="H82" s="27"/>
      <c r="I82" s="7"/>
      <c r="J82" s="139"/>
    </row>
    <row r="83" spans="1:10">
      <c r="A83" s="15"/>
      <c r="B83" s="15"/>
      <c r="C83" s="15"/>
      <c r="D83" s="179"/>
      <c r="E83" s="179"/>
      <c r="F83" s="179"/>
      <c r="G83" s="180"/>
      <c r="H83" s="27"/>
      <c r="I83" s="7"/>
      <c r="J83" s="139"/>
    </row>
    <row r="84" spans="1:10">
      <c r="A84" s="15"/>
      <c r="B84" s="15"/>
      <c r="C84" s="15"/>
      <c r="D84" s="179"/>
      <c r="E84" s="179"/>
      <c r="F84" s="179"/>
      <c r="G84" s="180"/>
      <c r="H84" s="27"/>
      <c r="I84" s="7"/>
      <c r="J84" s="139"/>
    </row>
    <row r="85" spans="1:10">
      <c r="A85" s="15"/>
      <c r="B85" s="15"/>
      <c r="C85" s="15"/>
      <c r="D85" s="179"/>
      <c r="E85" s="179"/>
      <c r="F85" s="179"/>
      <c r="G85" s="180"/>
      <c r="H85" s="27"/>
      <c r="I85" s="7"/>
      <c r="J85" s="139"/>
    </row>
    <row r="86" spans="1:10">
      <c r="A86" s="15"/>
      <c r="B86" s="15"/>
      <c r="C86" s="15"/>
      <c r="D86" s="179"/>
      <c r="E86" s="179"/>
      <c r="F86" s="179"/>
      <c r="G86" s="180"/>
      <c r="H86" s="27"/>
      <c r="I86" s="7"/>
      <c r="J86" s="139"/>
    </row>
    <row r="87" spans="1:10">
      <c r="A87" s="15"/>
      <c r="B87" s="15"/>
      <c r="C87" s="15"/>
      <c r="D87" s="179"/>
      <c r="E87" s="179"/>
      <c r="F87" s="179"/>
      <c r="G87" s="180"/>
      <c r="H87" s="27"/>
      <c r="I87" s="7"/>
      <c r="J87" s="139"/>
    </row>
    <row r="88" spans="1:10">
      <c r="A88" s="15"/>
      <c r="B88" s="15"/>
      <c r="C88" s="15"/>
      <c r="D88" s="179"/>
      <c r="E88" s="179"/>
      <c r="F88" s="179"/>
      <c r="G88" s="180"/>
      <c r="H88" s="27"/>
      <c r="I88" s="7"/>
      <c r="J88" s="139"/>
    </row>
    <row r="89" spans="1:10">
      <c r="A89" s="15"/>
      <c r="B89" s="15"/>
      <c r="C89" s="15"/>
      <c r="D89" s="179"/>
      <c r="E89" s="179"/>
      <c r="F89" s="179"/>
      <c r="G89" s="180"/>
      <c r="H89" s="27"/>
      <c r="I89" s="7"/>
      <c r="J89" s="139"/>
    </row>
    <row r="90" spans="1:10">
      <c r="A90" s="134"/>
      <c r="B90" s="134"/>
      <c r="C90" s="134"/>
      <c r="D90" s="181"/>
      <c r="E90" s="181"/>
      <c r="F90" s="181"/>
      <c r="G90" s="182"/>
      <c r="H90" s="183"/>
      <c r="I90" s="7"/>
      <c r="J90" s="139"/>
    </row>
    <row r="91" spans="1:10" s="158" customFormat="1" ht="21">
      <c r="A91" s="184"/>
      <c r="B91" s="185"/>
      <c r="C91" s="186"/>
      <c r="D91" s="187">
        <f>SUM(D72:D90)</f>
        <v>0</v>
      </c>
      <c r="E91" s="188">
        <f>SUM(E72:E90)</f>
        <v>0</v>
      </c>
      <c r="F91" s="188">
        <f>SUM(F72:F90)</f>
        <v>0</v>
      </c>
      <c r="G91" s="188">
        <f>SUM(G72:G90)</f>
        <v>0</v>
      </c>
      <c r="H91" s="189">
        <f>SUM(H72:H90)</f>
        <v>0</v>
      </c>
      <c r="I91" s="191"/>
      <c r="J91" s="192"/>
    </row>
    <row r="92" spans="1:10" s="159" customFormat="1">
      <c r="A92" s="45"/>
      <c r="B92" s="45"/>
      <c r="C92" s="45"/>
      <c r="D92" s="190"/>
      <c r="E92" s="190"/>
      <c r="F92" s="190"/>
      <c r="G92" s="190"/>
      <c r="H92" s="190"/>
      <c r="I92" s="7"/>
      <c r="J92" s="7"/>
    </row>
  </sheetData>
  <mergeCells count="14">
    <mergeCell ref="A61:J61"/>
    <mergeCell ref="A62:H62"/>
    <mergeCell ref="A69:C69"/>
    <mergeCell ref="A70:J70"/>
    <mergeCell ref="A34:J34"/>
    <mergeCell ref="A35:H35"/>
    <mergeCell ref="A43:C43"/>
    <mergeCell ref="A44:J44"/>
    <mergeCell ref="A59:C59"/>
    <mergeCell ref="A2:J2"/>
    <mergeCell ref="A3:H3"/>
    <mergeCell ref="A11:C11"/>
    <mergeCell ref="A12:J12"/>
    <mergeCell ref="A32:C32"/>
  </mergeCells>
  <conditionalFormatting sqref="B5:B6">
    <cfRule type="duplicateValues" dxfId="3" priority="4"/>
  </conditionalFormatting>
  <conditionalFormatting sqref="B37:B39">
    <cfRule type="duplicateValues" dxfId="2" priority="3"/>
  </conditionalFormatting>
  <conditionalFormatting sqref="B40">
    <cfRule type="duplicateValues" dxfId="1" priority="2"/>
  </conditionalFormatting>
  <conditionalFormatting sqref="B41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74"/>
  <sheetViews>
    <sheetView topLeftCell="A101" workbookViewId="0">
      <selection activeCell="A113" sqref="A113:XFD114"/>
    </sheetView>
  </sheetViews>
  <sheetFormatPr defaultColWidth="8.7265625" defaultRowHeight="14.5"/>
  <cols>
    <col min="1" max="1" width="10.453125" style="48" customWidth="1"/>
    <col min="2" max="2" width="43" style="48" customWidth="1"/>
    <col min="3" max="3" width="19.6328125" style="48" customWidth="1"/>
    <col min="4" max="4" width="17.81640625" style="67" customWidth="1"/>
    <col min="5" max="7" width="16.7265625" style="67" customWidth="1"/>
    <col min="8" max="8" width="23.08984375" style="67" customWidth="1"/>
    <col min="9" max="9" width="18.453125" style="48" customWidth="1"/>
    <col min="10" max="10" width="10.08984375" style="48" customWidth="1"/>
    <col min="11" max="16384" width="8.7265625" style="48"/>
  </cols>
  <sheetData>
    <row r="2" spans="1:10" ht="21">
      <c r="A2" s="335" t="s">
        <v>167</v>
      </c>
      <c r="B2" s="335"/>
      <c r="C2" s="335"/>
      <c r="D2" s="335"/>
      <c r="E2" s="335"/>
      <c r="F2" s="335"/>
      <c r="G2" s="335"/>
      <c r="H2" s="335"/>
      <c r="I2" s="335"/>
      <c r="J2" s="335"/>
    </row>
    <row r="3" spans="1:10" ht="21">
      <c r="A3" s="336" t="s">
        <v>12</v>
      </c>
      <c r="B3" s="336"/>
      <c r="C3" s="336"/>
      <c r="D3" s="336"/>
      <c r="E3" s="336"/>
      <c r="F3" s="336"/>
      <c r="G3" s="336"/>
      <c r="H3" s="336"/>
    </row>
    <row r="4" spans="1:10" ht="15.65" customHeight="1">
      <c r="A4" s="51" t="s">
        <v>13</v>
      </c>
      <c r="B4" s="51" t="s">
        <v>15</v>
      </c>
      <c r="C4" s="51" t="s">
        <v>14</v>
      </c>
      <c r="D4" s="68" t="s">
        <v>16</v>
      </c>
      <c r="E4" s="68" t="s">
        <v>17</v>
      </c>
      <c r="F4" s="68" t="s">
        <v>18</v>
      </c>
      <c r="G4" s="68" t="s">
        <v>19</v>
      </c>
      <c r="H4" s="68" t="s">
        <v>20</v>
      </c>
    </row>
    <row r="5" spans="1:10" ht="15.5">
      <c r="A5" s="69"/>
      <c r="B5" s="70"/>
      <c r="C5" s="41"/>
      <c r="D5" s="71"/>
      <c r="E5" s="71"/>
      <c r="F5" s="71"/>
      <c r="G5" s="71"/>
      <c r="H5" s="71"/>
    </row>
    <row r="6" spans="1:10" ht="15.5">
      <c r="A6" s="69"/>
      <c r="B6" s="70"/>
      <c r="C6" s="41"/>
      <c r="D6" s="71"/>
      <c r="E6" s="71"/>
      <c r="F6" s="71"/>
      <c r="G6" s="71"/>
      <c r="H6" s="71"/>
    </row>
    <row r="7" spans="1:10" ht="15.5">
      <c r="A7" s="69"/>
      <c r="B7" s="70"/>
      <c r="C7" s="41"/>
      <c r="D7" s="71"/>
      <c r="E7" s="71"/>
      <c r="F7" s="71"/>
      <c r="G7" s="71"/>
      <c r="H7" s="71"/>
    </row>
    <row r="8" spans="1:10" ht="15.5">
      <c r="A8" s="41"/>
      <c r="B8" s="70"/>
      <c r="C8" s="41"/>
      <c r="D8" s="71"/>
      <c r="E8" s="71"/>
      <c r="F8" s="71"/>
      <c r="G8" s="71"/>
      <c r="H8" s="71"/>
    </row>
    <row r="9" spans="1:10" ht="15.5">
      <c r="A9" s="41"/>
      <c r="B9" s="70"/>
      <c r="C9" s="41"/>
      <c r="D9" s="71"/>
      <c r="E9" s="71"/>
      <c r="F9" s="71"/>
      <c r="G9" s="71"/>
      <c r="H9" s="71"/>
      <c r="J9" s="6"/>
    </row>
    <row r="10" spans="1:10" ht="15.5">
      <c r="A10" s="41"/>
      <c r="B10" s="72"/>
      <c r="C10" s="41"/>
      <c r="D10" s="73"/>
      <c r="E10" s="73"/>
      <c r="F10" s="71"/>
      <c r="G10" s="71"/>
      <c r="H10" s="71"/>
      <c r="J10" s="101"/>
    </row>
    <row r="11" spans="1:10" ht="15.5">
      <c r="A11" s="74"/>
      <c r="B11" s="72"/>
      <c r="C11" s="41"/>
      <c r="D11" s="73"/>
      <c r="E11" s="73"/>
      <c r="F11" s="71"/>
      <c r="G11" s="71"/>
      <c r="H11" s="71"/>
      <c r="J11" s="101"/>
    </row>
    <row r="12" spans="1:10" ht="15.5">
      <c r="A12" s="74"/>
      <c r="B12" s="72"/>
      <c r="C12" s="74"/>
      <c r="D12" s="73"/>
      <c r="E12" s="73"/>
      <c r="F12" s="73"/>
      <c r="G12" s="73"/>
      <c r="H12" s="73"/>
      <c r="I12" s="102"/>
    </row>
    <row r="13" spans="1:10" ht="21">
      <c r="A13" s="337" t="s">
        <v>32</v>
      </c>
      <c r="B13" s="338"/>
      <c r="C13" s="339"/>
      <c r="D13" s="76">
        <f>SUM(D5:D12)</f>
        <v>0</v>
      </c>
      <c r="E13" s="76">
        <f>SUM(E5:E12)</f>
        <v>0</v>
      </c>
      <c r="F13" s="76">
        <f>SUM(F5:F12)</f>
        <v>0</v>
      </c>
      <c r="G13" s="76">
        <f>SUM(G5:G12)</f>
        <v>0</v>
      </c>
      <c r="H13" s="77">
        <f>SUM(H5:H12)</f>
        <v>0</v>
      </c>
      <c r="I13" s="103"/>
      <c r="J13" s="104"/>
    </row>
    <row r="14" spans="1:10" ht="21">
      <c r="A14" s="340" t="s">
        <v>33</v>
      </c>
      <c r="B14" s="341"/>
      <c r="C14" s="341"/>
      <c r="D14" s="341"/>
      <c r="E14" s="341"/>
      <c r="F14" s="341"/>
      <c r="G14" s="341"/>
      <c r="H14" s="341"/>
      <c r="I14" s="342"/>
      <c r="J14" s="343"/>
    </row>
    <row r="15" spans="1:10">
      <c r="A15" s="51" t="s">
        <v>13</v>
      </c>
      <c r="B15" s="51" t="s">
        <v>15</v>
      </c>
      <c r="C15" s="51" t="s">
        <v>34</v>
      </c>
      <c r="D15" s="68" t="s">
        <v>16</v>
      </c>
      <c r="E15" s="68" t="s">
        <v>168</v>
      </c>
      <c r="F15" s="68" t="s">
        <v>18</v>
      </c>
      <c r="G15" s="68" t="s">
        <v>19</v>
      </c>
      <c r="H15" s="68" t="s">
        <v>20</v>
      </c>
      <c r="I15" s="51" t="s">
        <v>36</v>
      </c>
      <c r="J15" s="51" t="s">
        <v>37</v>
      </c>
    </row>
    <row r="16" spans="1:10" s="50" customFormat="1">
      <c r="A16" s="78"/>
      <c r="B16" s="78"/>
      <c r="C16" s="78"/>
      <c r="D16" s="79"/>
      <c r="E16" s="79"/>
      <c r="F16" s="79"/>
      <c r="G16" s="79"/>
      <c r="H16" s="80"/>
      <c r="I16" s="105"/>
      <c r="J16" s="59"/>
    </row>
    <row r="17" spans="1:10" s="50" customFormat="1">
      <c r="A17" s="53"/>
      <c r="B17" s="53"/>
      <c r="C17" s="53"/>
      <c r="D17" s="81"/>
      <c r="E17" s="81"/>
      <c r="F17" s="81"/>
      <c r="G17" s="81"/>
      <c r="H17" s="81"/>
      <c r="I17" s="105"/>
      <c r="J17" s="59"/>
    </row>
    <row r="18" spans="1:10" s="50" customFormat="1">
      <c r="A18" s="53"/>
      <c r="B18" s="53"/>
      <c r="C18" s="53"/>
      <c r="D18" s="81"/>
      <c r="E18" s="81"/>
      <c r="F18" s="81"/>
      <c r="G18" s="81"/>
      <c r="H18" s="81"/>
      <c r="I18" s="59"/>
      <c r="J18" s="59"/>
    </row>
    <row r="19" spans="1:10" s="50" customFormat="1">
      <c r="A19" s="78"/>
      <c r="B19" s="78"/>
      <c r="C19" s="78"/>
      <c r="D19" s="79"/>
      <c r="E19" s="79"/>
      <c r="F19" s="79"/>
      <c r="G19" s="79"/>
      <c r="H19" s="80"/>
      <c r="I19" s="59"/>
      <c r="J19" s="59"/>
    </row>
    <row r="20" spans="1:10" s="50" customFormat="1">
      <c r="A20" s="53"/>
      <c r="B20" s="53"/>
      <c r="C20" s="53"/>
      <c r="D20" s="81"/>
      <c r="E20" s="81"/>
      <c r="F20" s="81"/>
      <c r="G20" s="81"/>
      <c r="H20" s="81"/>
      <c r="I20" s="59"/>
      <c r="J20" s="59"/>
    </row>
    <row r="21" spans="1:10" s="49" customFormat="1">
      <c r="A21" s="53"/>
      <c r="B21" s="53"/>
      <c r="C21" s="53"/>
      <c r="D21" s="81"/>
      <c r="E21" s="81"/>
      <c r="F21" s="81"/>
      <c r="G21" s="81"/>
      <c r="H21" s="82"/>
      <c r="I21" s="106"/>
      <c r="J21" s="54"/>
    </row>
    <row r="22" spans="1:10" s="50" customFormat="1">
      <c r="A22" s="53"/>
      <c r="B22" s="53"/>
      <c r="C22" s="53"/>
      <c r="D22" s="81"/>
      <c r="E22" s="81"/>
      <c r="F22" s="81"/>
      <c r="G22" s="81"/>
      <c r="H22" s="81"/>
      <c r="I22" s="59"/>
      <c r="J22" s="59"/>
    </row>
    <row r="23" spans="1:10" s="50" customFormat="1">
      <c r="A23" s="78"/>
      <c r="B23" s="78"/>
      <c r="C23" s="78"/>
      <c r="D23" s="79"/>
      <c r="E23" s="79"/>
      <c r="F23" s="79"/>
      <c r="G23" s="79"/>
      <c r="H23" s="80"/>
      <c r="I23" s="59"/>
      <c r="J23" s="59"/>
    </row>
    <row r="24" spans="1:10" s="50" customFormat="1">
      <c r="A24" s="78"/>
      <c r="B24" s="78"/>
      <c r="C24" s="78"/>
      <c r="D24" s="79"/>
      <c r="E24" s="79"/>
      <c r="F24" s="79"/>
      <c r="G24" s="79"/>
      <c r="H24" s="80"/>
      <c r="I24" s="59"/>
      <c r="J24" s="59"/>
    </row>
    <row r="25" spans="1:10" s="50" customFormat="1">
      <c r="A25" s="53"/>
      <c r="B25" s="53"/>
      <c r="C25" s="53"/>
      <c r="D25" s="81"/>
      <c r="E25" s="81"/>
      <c r="F25" s="81"/>
      <c r="G25" s="81"/>
      <c r="H25" s="81"/>
      <c r="I25" s="59"/>
      <c r="J25" s="59"/>
    </row>
    <row r="26" spans="1:10" s="50" customFormat="1">
      <c r="A26" s="78"/>
      <c r="B26" s="78"/>
      <c r="C26" s="78"/>
      <c r="D26" s="79"/>
      <c r="E26" s="79"/>
      <c r="F26" s="79"/>
      <c r="G26" s="79"/>
      <c r="H26" s="80"/>
      <c r="I26" s="59"/>
      <c r="J26" s="59"/>
    </row>
    <row r="27" spans="1:10" s="50" customFormat="1">
      <c r="A27" s="78"/>
      <c r="B27" s="78"/>
      <c r="C27" s="78"/>
      <c r="D27" s="79"/>
      <c r="E27" s="79"/>
      <c r="F27" s="79"/>
      <c r="G27" s="79"/>
      <c r="H27" s="80"/>
      <c r="I27" s="59"/>
      <c r="J27" s="59"/>
    </row>
    <row r="28" spans="1:10" s="50" customFormat="1">
      <c r="A28" s="78"/>
      <c r="B28" s="78"/>
      <c r="C28" s="78"/>
      <c r="D28" s="79"/>
      <c r="E28" s="79"/>
      <c r="F28" s="79"/>
      <c r="G28" s="79"/>
      <c r="H28" s="80"/>
      <c r="I28" s="59"/>
      <c r="J28" s="59"/>
    </row>
    <row r="29" spans="1:10" s="50" customFormat="1">
      <c r="A29" s="78"/>
      <c r="B29" s="78"/>
      <c r="C29" s="78"/>
      <c r="D29" s="79"/>
      <c r="E29" s="79"/>
      <c r="F29" s="79"/>
      <c r="G29" s="79"/>
      <c r="H29" s="80"/>
      <c r="I29" s="59"/>
      <c r="J29" s="59"/>
    </row>
    <row r="30" spans="1:10" s="49" customFormat="1">
      <c r="A30" s="53"/>
      <c r="B30" s="53"/>
      <c r="C30" s="53"/>
      <c r="D30" s="81"/>
      <c r="E30" s="81"/>
      <c r="F30" s="81"/>
      <c r="G30" s="81"/>
      <c r="H30" s="82"/>
      <c r="I30" s="54"/>
      <c r="J30" s="54"/>
    </row>
    <row r="31" spans="1:10" s="49" customFormat="1">
      <c r="A31" s="53"/>
      <c r="B31" s="53"/>
      <c r="C31" s="53"/>
      <c r="D31" s="81"/>
      <c r="E31" s="81"/>
      <c r="F31" s="81"/>
      <c r="G31" s="81"/>
      <c r="H31" s="82"/>
      <c r="I31" s="54"/>
      <c r="J31" s="54"/>
    </row>
    <row r="32" spans="1:10" s="49" customFormat="1">
      <c r="A32" s="53"/>
      <c r="B32" s="53"/>
      <c r="C32" s="53"/>
      <c r="D32" s="81"/>
      <c r="E32" s="81"/>
      <c r="F32" s="81"/>
      <c r="G32" s="81"/>
      <c r="H32" s="82"/>
      <c r="I32" s="54"/>
      <c r="J32" s="54"/>
    </row>
    <row r="33" spans="1:10" s="49" customFormat="1">
      <c r="A33" s="53"/>
      <c r="B33" s="53"/>
      <c r="C33" s="53"/>
      <c r="D33" s="81"/>
      <c r="E33" s="81"/>
      <c r="F33" s="81"/>
      <c r="G33" s="81"/>
      <c r="H33" s="82"/>
      <c r="I33" s="54"/>
      <c r="J33" s="54"/>
    </row>
    <row r="34" spans="1:10" s="49" customFormat="1">
      <c r="A34" s="53"/>
      <c r="B34" s="53"/>
      <c r="C34" s="53"/>
      <c r="D34" s="81"/>
      <c r="E34" s="81"/>
      <c r="F34" s="81"/>
      <c r="G34" s="81"/>
      <c r="H34" s="82"/>
      <c r="I34" s="54"/>
      <c r="J34" s="54"/>
    </row>
    <row r="35" spans="1:10" s="49" customFormat="1">
      <c r="A35" s="53"/>
      <c r="B35" s="53"/>
      <c r="C35" s="53"/>
      <c r="D35" s="81"/>
      <c r="E35" s="81"/>
      <c r="F35" s="81"/>
      <c r="G35" s="81"/>
      <c r="H35" s="82"/>
      <c r="I35" s="54"/>
      <c r="J35" s="54"/>
    </row>
    <row r="36" spans="1:10" s="50" customFormat="1">
      <c r="A36" s="78"/>
      <c r="B36" s="78"/>
      <c r="C36" s="78"/>
      <c r="D36" s="79"/>
      <c r="E36" s="79"/>
      <c r="F36" s="79"/>
      <c r="G36" s="79"/>
      <c r="H36" s="80"/>
      <c r="I36" s="59"/>
      <c r="J36" s="59"/>
    </row>
    <row r="37" spans="1:10" s="50" customFormat="1">
      <c r="A37" s="78"/>
      <c r="B37" s="78"/>
      <c r="C37" s="78"/>
      <c r="D37" s="79"/>
      <c r="E37" s="79"/>
      <c r="F37" s="79"/>
      <c r="G37" s="79"/>
      <c r="H37" s="80"/>
      <c r="I37" s="59"/>
      <c r="J37" s="59"/>
    </row>
    <row r="38" spans="1:10" s="50" customFormat="1">
      <c r="A38" s="78"/>
      <c r="B38" s="78"/>
      <c r="C38" s="78"/>
      <c r="D38" s="79"/>
      <c r="E38" s="79"/>
      <c r="F38" s="79"/>
      <c r="G38" s="79"/>
      <c r="H38" s="80"/>
      <c r="I38" s="59"/>
      <c r="J38" s="59"/>
    </row>
    <row r="39" spans="1:10" s="50" customFormat="1">
      <c r="A39" s="78"/>
      <c r="B39" s="78"/>
      <c r="C39" s="78"/>
      <c r="D39" s="79"/>
      <c r="E39" s="79"/>
      <c r="F39" s="79"/>
      <c r="G39" s="79"/>
      <c r="H39" s="80"/>
      <c r="I39" s="59"/>
      <c r="J39" s="59"/>
    </row>
    <row r="40" spans="1:10" s="49" customFormat="1">
      <c r="A40" s="53"/>
      <c r="B40" s="53"/>
      <c r="C40" s="53"/>
      <c r="D40" s="81"/>
      <c r="E40" s="81"/>
      <c r="F40" s="81"/>
      <c r="G40" s="81"/>
      <c r="H40" s="82"/>
      <c r="I40" s="54"/>
      <c r="J40" s="54"/>
    </row>
    <row r="41" spans="1:10" s="49" customFormat="1">
      <c r="A41" s="53"/>
      <c r="B41" s="53"/>
      <c r="C41" s="53"/>
      <c r="D41" s="81"/>
      <c r="E41" s="81"/>
      <c r="F41" s="81"/>
      <c r="G41" s="81"/>
      <c r="H41" s="82"/>
      <c r="I41" s="54"/>
      <c r="J41" s="54"/>
    </row>
    <row r="42" spans="1:10" s="49" customFormat="1">
      <c r="A42" s="53"/>
      <c r="B42" s="53"/>
      <c r="C42" s="53"/>
      <c r="D42" s="81"/>
      <c r="E42" s="81"/>
      <c r="F42" s="81"/>
      <c r="G42" s="81"/>
      <c r="H42" s="82"/>
      <c r="I42" s="54"/>
      <c r="J42" s="54"/>
    </row>
    <row r="43" spans="1:10" s="49" customFormat="1">
      <c r="A43" s="53"/>
      <c r="B43" s="53"/>
      <c r="C43" s="53"/>
      <c r="D43" s="81"/>
      <c r="E43" s="81"/>
      <c r="F43" s="81"/>
      <c r="G43" s="81"/>
      <c r="H43" s="82"/>
      <c r="I43" s="107"/>
      <c r="J43" s="107"/>
    </row>
    <row r="44" spans="1:10" s="50" customFormat="1">
      <c r="A44" s="78"/>
      <c r="B44" s="78"/>
      <c r="C44" s="78"/>
      <c r="D44" s="79"/>
      <c r="E44" s="79"/>
      <c r="F44" s="79"/>
      <c r="G44" s="79"/>
      <c r="H44" s="80"/>
      <c r="I44" s="108"/>
      <c r="J44" s="108"/>
    </row>
    <row r="45" spans="1:10" s="50" customFormat="1">
      <c r="A45" s="78"/>
      <c r="B45" s="78"/>
      <c r="C45" s="78"/>
      <c r="D45" s="79"/>
      <c r="E45" s="79"/>
      <c r="F45" s="79"/>
      <c r="G45" s="79"/>
      <c r="H45" s="80"/>
      <c r="I45" s="108"/>
      <c r="J45" s="108"/>
    </row>
    <row r="46" spans="1:10" s="49" customFormat="1">
      <c r="A46" s="53"/>
      <c r="B46" s="53"/>
      <c r="C46" s="53"/>
      <c r="D46" s="81"/>
      <c r="E46" s="81"/>
      <c r="F46" s="81"/>
      <c r="G46" s="82"/>
      <c r="H46" s="82"/>
      <c r="I46" s="54"/>
      <c r="J46" s="109"/>
    </row>
    <row r="47" spans="1:10" s="49" customFormat="1">
      <c r="A47" s="53"/>
      <c r="B47" s="53"/>
      <c r="C47" s="53"/>
      <c r="D47" s="81"/>
      <c r="E47" s="81"/>
      <c r="F47" s="81"/>
      <c r="G47" s="82"/>
      <c r="H47" s="82"/>
      <c r="I47" s="54"/>
      <c r="J47" s="109"/>
    </row>
    <row r="48" spans="1:10" s="64" customFormat="1">
      <c r="A48" s="83"/>
      <c r="B48" s="84"/>
      <c r="C48" s="84"/>
      <c r="D48" s="85"/>
      <c r="E48" s="85"/>
      <c r="F48" s="85"/>
      <c r="G48" s="86"/>
      <c r="H48" s="86"/>
      <c r="I48" s="110"/>
      <c r="J48" s="111"/>
    </row>
    <row r="49" spans="1:10" s="50" customFormat="1">
      <c r="A49" s="78"/>
      <c r="B49" s="78"/>
      <c r="C49" s="78"/>
      <c r="D49" s="79"/>
      <c r="E49" s="79"/>
      <c r="F49" s="79"/>
      <c r="G49" s="79"/>
      <c r="H49" s="80"/>
      <c r="I49" s="108"/>
      <c r="J49" s="108"/>
    </row>
    <row r="50" spans="1:10" ht="21">
      <c r="A50" s="344" t="s">
        <v>32</v>
      </c>
      <c r="B50" s="345"/>
      <c r="C50" s="346"/>
      <c r="D50" s="90">
        <f>SUM(D16:D48)</f>
        <v>0</v>
      </c>
      <c r="E50" s="90">
        <f>SUM(E16:E48)</f>
        <v>0</v>
      </c>
      <c r="F50" s="90">
        <f>SUM(F16:F48)</f>
        <v>0</v>
      </c>
      <c r="G50" s="90">
        <f>SUM(G16:G48)</f>
        <v>0</v>
      </c>
      <c r="H50" s="90">
        <f>SUM(H16:H48)</f>
        <v>0</v>
      </c>
      <c r="I50" s="112">
        <f>SUM(I16:I45)</f>
        <v>0</v>
      </c>
      <c r="J50" s="112">
        <f>SUM(J16:J45)</f>
        <v>0</v>
      </c>
    </row>
    <row r="51" spans="1:10" ht="21">
      <c r="A51" s="87"/>
      <c r="B51" s="88"/>
      <c r="C51" s="89"/>
      <c r="D51" s="90"/>
      <c r="E51" s="90"/>
      <c r="F51" s="90">
        <f>E50/2</f>
        <v>0</v>
      </c>
      <c r="G51" s="90"/>
      <c r="H51" s="90"/>
      <c r="I51" s="112"/>
      <c r="J51" s="112"/>
    </row>
    <row r="52" spans="1:10" ht="21">
      <c r="A52" s="344" t="s">
        <v>169</v>
      </c>
      <c r="B52" s="345"/>
      <c r="C52" s="346"/>
      <c r="D52" s="90">
        <f>D13-D50</f>
        <v>0</v>
      </c>
      <c r="E52" s="90">
        <f>E13-E50</f>
        <v>0</v>
      </c>
      <c r="F52" s="90">
        <f>F13-F50</f>
        <v>0</v>
      </c>
      <c r="G52" s="90">
        <f>G13-G50</f>
        <v>0</v>
      </c>
      <c r="H52" s="90">
        <f>H13-H50</f>
        <v>0</v>
      </c>
      <c r="I52" s="112"/>
      <c r="J52" s="112"/>
    </row>
    <row r="53" spans="1:10" ht="21">
      <c r="A53" s="91"/>
      <c r="B53" s="91"/>
      <c r="C53" s="92"/>
      <c r="D53" s="93"/>
      <c r="E53" s="93"/>
      <c r="F53" s="93"/>
      <c r="G53" s="93"/>
      <c r="H53" s="93"/>
      <c r="I53" s="113"/>
      <c r="J53" s="114"/>
    </row>
    <row r="54" spans="1:10" ht="21">
      <c r="A54" s="335" t="s">
        <v>170</v>
      </c>
      <c r="B54" s="335"/>
      <c r="C54" s="335"/>
      <c r="D54" s="335"/>
      <c r="E54" s="335"/>
      <c r="F54" s="335"/>
      <c r="G54" s="335"/>
      <c r="H54" s="335"/>
      <c r="I54" s="335"/>
      <c r="J54" s="335"/>
    </row>
    <row r="55" spans="1:10" ht="21">
      <c r="A55" s="336" t="s">
        <v>12</v>
      </c>
      <c r="B55" s="336"/>
      <c r="C55" s="336"/>
      <c r="D55" s="336"/>
      <c r="E55" s="336"/>
      <c r="F55" s="336"/>
      <c r="G55" s="336"/>
      <c r="H55" s="336"/>
    </row>
    <row r="56" spans="1:10">
      <c r="A56" s="51" t="s">
        <v>13</v>
      </c>
      <c r="B56" s="51" t="s">
        <v>15</v>
      </c>
      <c r="C56" s="51" t="s">
        <v>14</v>
      </c>
      <c r="D56" s="94" t="s">
        <v>16</v>
      </c>
      <c r="E56" s="68" t="s">
        <v>17</v>
      </c>
      <c r="F56" s="68" t="s">
        <v>18</v>
      </c>
      <c r="G56" s="68" t="s">
        <v>19</v>
      </c>
      <c r="H56" s="68" t="s">
        <v>20</v>
      </c>
    </row>
    <row r="57" spans="1:10" ht="15.5">
      <c r="A57" s="69"/>
      <c r="B57" s="72"/>
      <c r="C57" s="74"/>
      <c r="D57" s="95"/>
      <c r="E57" s="96"/>
      <c r="F57" s="73"/>
      <c r="G57" s="71"/>
      <c r="H57" s="73"/>
    </row>
    <row r="58" spans="1:10" ht="15.5">
      <c r="A58" s="69"/>
      <c r="B58" s="72"/>
      <c r="C58" s="74"/>
      <c r="D58" s="95"/>
      <c r="E58" s="96"/>
      <c r="F58" s="73"/>
      <c r="G58" s="71"/>
      <c r="H58" s="73"/>
    </row>
    <row r="59" spans="1:10" ht="15.5">
      <c r="A59" s="40"/>
      <c r="B59" s="72"/>
      <c r="C59" s="41"/>
      <c r="D59" s="97"/>
      <c r="E59" s="96"/>
      <c r="F59" s="73"/>
      <c r="G59" s="71"/>
      <c r="H59" s="73"/>
    </row>
    <row r="60" spans="1:10" ht="15.5">
      <c r="A60" s="40"/>
      <c r="B60" s="72"/>
      <c r="C60" s="41"/>
      <c r="D60" s="97"/>
      <c r="E60" s="96"/>
      <c r="F60" s="73"/>
      <c r="G60" s="71"/>
      <c r="H60" s="73"/>
    </row>
    <row r="61" spans="1:10" ht="15.5">
      <c r="A61" s="40"/>
      <c r="B61" s="72"/>
      <c r="C61" s="41"/>
      <c r="D61" s="97"/>
      <c r="E61" s="96"/>
      <c r="F61" s="73"/>
      <c r="G61" s="71"/>
      <c r="H61" s="73"/>
    </row>
    <row r="62" spans="1:10" ht="15.5">
      <c r="A62" s="40"/>
      <c r="B62" s="72"/>
      <c r="C62" s="41"/>
      <c r="D62" s="98"/>
      <c r="E62" s="71"/>
      <c r="F62" s="73"/>
      <c r="G62" s="71"/>
      <c r="H62" s="73"/>
    </row>
    <row r="63" spans="1:10" ht="15.5">
      <c r="A63" s="41"/>
      <c r="B63" s="99"/>
      <c r="C63" s="41"/>
      <c r="D63" s="71"/>
      <c r="E63" s="71"/>
      <c r="F63" s="71"/>
      <c r="G63" s="71"/>
      <c r="H63" s="71"/>
    </row>
    <row r="64" spans="1:10" ht="15.5">
      <c r="A64" s="100"/>
      <c r="B64" s="99"/>
      <c r="C64" s="41"/>
      <c r="D64" s="71"/>
      <c r="E64" s="71"/>
      <c r="F64" s="71"/>
      <c r="G64" s="71"/>
      <c r="H64" s="71"/>
    </row>
    <row r="65" spans="1:10" s="65" customFormat="1">
      <c r="A65" s="115"/>
      <c r="B65" s="116"/>
      <c r="C65" s="100"/>
      <c r="D65" s="117"/>
      <c r="E65" s="118"/>
      <c r="F65" s="117"/>
      <c r="G65" s="117"/>
      <c r="H65" s="117"/>
      <c r="I65" s="100"/>
      <c r="J65" s="100"/>
    </row>
    <row r="66" spans="1:10" s="65" customFormat="1">
      <c r="A66" s="119"/>
      <c r="B66" s="120"/>
      <c r="C66" s="121"/>
      <c r="D66" s="122"/>
      <c r="E66" s="123"/>
      <c r="F66" s="122"/>
      <c r="G66" s="122"/>
      <c r="H66" s="122"/>
      <c r="I66" s="142"/>
      <c r="J66" s="142"/>
    </row>
    <row r="67" spans="1:10" ht="21">
      <c r="A67" s="328" t="s">
        <v>32</v>
      </c>
      <c r="B67" s="329"/>
      <c r="C67" s="347"/>
      <c r="D67" s="124">
        <f>SUM(D57:D65)</f>
        <v>0</v>
      </c>
      <c r="E67" s="124">
        <f>SUM(E63:E65)</f>
        <v>0</v>
      </c>
      <c r="F67" s="124">
        <f>SUM(F57:F65)</f>
        <v>0</v>
      </c>
      <c r="G67" s="124">
        <f>SUM(G57:G65)</f>
        <v>0</v>
      </c>
      <c r="H67" s="124">
        <f>SUM(H57:H65)</f>
        <v>0</v>
      </c>
    </row>
    <row r="68" spans="1:10" ht="21">
      <c r="A68" s="348" t="s">
        <v>33</v>
      </c>
      <c r="B68" s="342"/>
      <c r="C68" s="342"/>
      <c r="D68" s="342"/>
      <c r="E68" s="342"/>
      <c r="F68" s="342"/>
      <c r="G68" s="342"/>
      <c r="H68" s="342"/>
      <c r="I68" s="342"/>
      <c r="J68" s="343"/>
    </row>
    <row r="69" spans="1:10">
      <c r="A69" s="51" t="s">
        <v>13</v>
      </c>
      <c r="B69" s="51" t="s">
        <v>15</v>
      </c>
      <c r="C69" s="51" t="s">
        <v>34</v>
      </c>
      <c r="D69" s="68" t="s">
        <v>16</v>
      </c>
      <c r="E69" s="68" t="s">
        <v>35</v>
      </c>
      <c r="F69" s="68" t="s">
        <v>18</v>
      </c>
      <c r="G69" s="68" t="s">
        <v>19</v>
      </c>
      <c r="H69" s="68" t="s">
        <v>20</v>
      </c>
      <c r="I69" s="51" t="s">
        <v>36</v>
      </c>
      <c r="J69" s="51" t="s">
        <v>37</v>
      </c>
    </row>
    <row r="70" spans="1:10" s="50" customFormat="1">
      <c r="A70" s="125"/>
      <c r="B70" s="105"/>
      <c r="C70" s="126"/>
      <c r="D70" s="80"/>
      <c r="E70" s="59"/>
      <c r="F70" s="127"/>
      <c r="G70" s="80"/>
      <c r="H70" s="128"/>
      <c r="I70" s="108"/>
      <c r="J70" s="59"/>
    </row>
    <row r="71" spans="1:10">
      <c r="A71" s="125"/>
      <c r="B71" s="6"/>
      <c r="C71" s="27"/>
      <c r="D71" s="71"/>
      <c r="E71" s="127"/>
      <c r="F71" s="71"/>
      <c r="G71" s="71"/>
      <c r="H71" s="80"/>
      <c r="I71" s="41"/>
      <c r="J71" s="41"/>
    </row>
    <row r="72" spans="1:10">
      <c r="A72" s="57"/>
      <c r="B72" s="105"/>
      <c r="C72" s="129"/>
      <c r="D72" s="71"/>
      <c r="E72" s="71"/>
      <c r="F72" s="71"/>
      <c r="G72" s="71"/>
      <c r="H72" s="80"/>
      <c r="I72" s="41"/>
      <c r="J72" s="41"/>
    </row>
    <row r="73" spans="1:10">
      <c r="A73" s="130"/>
      <c r="B73" s="100"/>
      <c r="C73" s="131"/>
      <c r="D73" s="132"/>
      <c r="E73" s="127"/>
      <c r="F73" s="71"/>
      <c r="G73" s="71"/>
      <c r="H73" s="80"/>
      <c r="I73" s="41"/>
      <c r="J73" s="41"/>
    </row>
    <row r="74" spans="1:10">
      <c r="A74" s="130"/>
      <c r="B74" s="100"/>
      <c r="C74" s="131"/>
      <c r="D74" s="7"/>
      <c r="E74" s="127"/>
      <c r="F74" s="71"/>
      <c r="G74" s="71"/>
      <c r="H74" s="80"/>
      <c r="I74" s="41"/>
      <c r="J74" s="41"/>
    </row>
    <row r="75" spans="1:10">
      <c r="A75" s="130"/>
      <c r="B75" s="100"/>
      <c r="C75" s="131"/>
      <c r="D75" s="7"/>
      <c r="E75" s="127"/>
      <c r="F75" s="7"/>
      <c r="G75" s="71"/>
      <c r="H75" s="80"/>
      <c r="I75" s="41"/>
      <c r="J75" s="41"/>
    </row>
    <row r="76" spans="1:10">
      <c r="A76" s="133"/>
      <c r="B76" s="131"/>
      <c r="C76" s="131"/>
      <c r="D76" s="132"/>
      <c r="E76" s="127"/>
      <c r="F76" s="7"/>
      <c r="G76" s="71"/>
      <c r="H76" s="80"/>
      <c r="I76" s="41"/>
      <c r="J76" s="41"/>
    </row>
    <row r="77" spans="1:10">
      <c r="A77" s="133"/>
      <c r="B77" s="131"/>
      <c r="C77" s="131"/>
      <c r="D77" s="7"/>
      <c r="E77" s="127"/>
      <c r="F77" s="71"/>
      <c r="G77" s="71"/>
      <c r="H77" s="80"/>
      <c r="I77" s="41"/>
      <c r="J77" s="41"/>
    </row>
    <row r="78" spans="1:10">
      <c r="A78" s="133"/>
      <c r="B78" s="131"/>
      <c r="C78" s="131"/>
      <c r="D78" s="7"/>
      <c r="E78" s="127"/>
      <c r="F78" s="7"/>
      <c r="G78" s="71"/>
      <c r="H78" s="80"/>
      <c r="I78" s="41"/>
      <c r="J78" s="41"/>
    </row>
    <row r="79" spans="1:10">
      <c r="A79" s="15"/>
      <c r="B79" s="15"/>
      <c r="C79" s="15"/>
      <c r="D79" s="17"/>
      <c r="E79" s="17"/>
      <c r="F79" s="17"/>
      <c r="G79" s="17"/>
      <c r="H79" s="17"/>
      <c r="I79" s="74"/>
      <c r="J79" s="139"/>
    </row>
    <row r="80" spans="1:10">
      <c r="A80" s="15"/>
      <c r="B80" s="15"/>
      <c r="C80" s="15"/>
      <c r="D80" s="17"/>
      <c r="E80" s="17"/>
      <c r="F80" s="17"/>
      <c r="G80" s="17"/>
      <c r="H80" s="17"/>
      <c r="I80" s="74"/>
      <c r="J80" s="139"/>
    </row>
    <row r="81" spans="1:10">
      <c r="A81" s="15"/>
      <c r="B81" s="15"/>
      <c r="C81" s="15"/>
      <c r="D81" s="17"/>
      <c r="E81" s="17"/>
      <c r="F81" s="17"/>
      <c r="G81" s="17"/>
      <c r="H81" s="17"/>
      <c r="I81" s="143"/>
      <c r="J81" s="139"/>
    </row>
    <row r="82" spans="1:10">
      <c r="A82" s="15"/>
      <c r="B82" s="15"/>
      <c r="C82" s="15"/>
      <c r="D82" s="17"/>
      <c r="E82" s="17"/>
      <c r="F82" s="17"/>
      <c r="G82" s="17"/>
      <c r="H82" s="17"/>
      <c r="I82" s="74"/>
      <c r="J82" s="139"/>
    </row>
    <row r="83" spans="1:10">
      <c r="A83" s="15"/>
      <c r="B83" s="15"/>
      <c r="C83" s="15"/>
      <c r="D83" s="17"/>
      <c r="E83" s="17"/>
      <c r="F83" s="17"/>
      <c r="G83" s="17"/>
      <c r="H83" s="17"/>
      <c r="I83" s="74"/>
      <c r="J83" s="139"/>
    </row>
    <row r="84" spans="1:10">
      <c r="A84" s="15"/>
      <c r="B84" s="15"/>
      <c r="C84" s="15"/>
      <c r="D84" s="17"/>
      <c r="E84" s="17"/>
      <c r="F84" s="17"/>
      <c r="G84" s="17"/>
      <c r="H84" s="17"/>
      <c r="I84" s="74"/>
      <c r="J84" s="139"/>
    </row>
    <row r="85" spans="1:10">
      <c r="A85" s="15"/>
      <c r="B85" s="15"/>
      <c r="C85" s="15"/>
      <c r="D85" s="17"/>
      <c r="E85" s="17"/>
      <c r="F85" s="17"/>
      <c r="G85" s="17"/>
      <c r="H85" s="17"/>
      <c r="I85" s="74"/>
      <c r="J85" s="139"/>
    </row>
    <row r="86" spans="1:10">
      <c r="A86" s="15"/>
      <c r="B86" s="15"/>
      <c r="C86" s="15"/>
      <c r="D86" s="17"/>
      <c r="E86" s="17"/>
      <c r="F86" s="17"/>
      <c r="G86" s="17"/>
      <c r="H86" s="17"/>
      <c r="I86" s="74"/>
      <c r="J86" s="139"/>
    </row>
    <row r="87" spans="1:10">
      <c r="A87" s="15"/>
      <c r="B87" s="15"/>
      <c r="C87" s="15"/>
      <c r="D87" s="17"/>
      <c r="E87" s="17"/>
      <c r="F87" s="17"/>
      <c r="G87" s="17"/>
      <c r="H87" s="17"/>
      <c r="I87" s="74"/>
      <c r="J87" s="139"/>
    </row>
    <row r="88" spans="1:10">
      <c r="A88" s="15"/>
      <c r="B88" s="15"/>
      <c r="C88" s="15"/>
      <c r="D88" s="17"/>
      <c r="E88" s="17"/>
      <c r="F88" s="17"/>
      <c r="G88" s="17"/>
      <c r="H88" s="17"/>
      <c r="I88" s="74"/>
      <c r="J88" s="139"/>
    </row>
    <row r="89" spans="1:10">
      <c r="A89" s="15"/>
      <c r="B89" s="15"/>
      <c r="C89" s="15"/>
      <c r="D89" s="17"/>
      <c r="E89" s="17"/>
      <c r="F89" s="17"/>
      <c r="G89" s="17"/>
      <c r="H89" s="17"/>
      <c r="I89" s="74"/>
      <c r="J89" s="139"/>
    </row>
    <row r="90" spans="1:10">
      <c r="A90" s="15"/>
      <c r="B90" s="15"/>
      <c r="C90" s="15"/>
      <c r="D90" s="17"/>
      <c r="E90" s="17"/>
      <c r="F90" s="17"/>
      <c r="G90" s="17"/>
      <c r="H90" s="17"/>
      <c r="I90" s="74"/>
      <c r="J90" s="139"/>
    </row>
    <row r="91" spans="1:10">
      <c r="A91" s="15"/>
      <c r="B91" s="15"/>
      <c r="C91" s="15"/>
      <c r="D91" s="17"/>
      <c r="E91" s="17"/>
      <c r="F91" s="17"/>
      <c r="G91" s="17"/>
      <c r="H91" s="17"/>
      <c r="I91" s="74"/>
      <c r="J91" s="139"/>
    </row>
    <row r="92" spans="1:10">
      <c r="A92" s="15"/>
      <c r="B92" s="15"/>
      <c r="C92" s="15"/>
      <c r="D92" s="17"/>
      <c r="E92" s="17"/>
      <c r="F92" s="17"/>
      <c r="G92" s="17"/>
      <c r="H92" s="17"/>
      <c r="I92" s="74"/>
      <c r="J92" s="139"/>
    </row>
    <row r="93" spans="1:10">
      <c r="A93" s="15"/>
      <c r="B93" s="15"/>
      <c r="C93" s="15"/>
      <c r="D93" s="17"/>
      <c r="E93" s="17"/>
      <c r="F93" s="17"/>
      <c r="G93" s="17"/>
      <c r="H93" s="17"/>
      <c r="I93" s="74"/>
      <c r="J93" s="139"/>
    </row>
    <row r="94" spans="1:10">
      <c r="A94" s="15"/>
      <c r="B94" s="15"/>
      <c r="C94" s="15"/>
      <c r="D94" s="17"/>
      <c r="E94" s="17"/>
      <c r="F94" s="17"/>
      <c r="G94" s="17"/>
      <c r="H94" s="17"/>
      <c r="I94" s="74"/>
      <c r="J94" s="139"/>
    </row>
    <row r="95" spans="1:10">
      <c r="A95" s="15"/>
      <c r="B95" s="15"/>
      <c r="C95" s="15"/>
      <c r="D95" s="17"/>
      <c r="E95" s="17"/>
      <c r="F95" s="17"/>
      <c r="G95" s="17"/>
      <c r="H95" s="17"/>
      <c r="I95" s="74"/>
      <c r="J95" s="139"/>
    </row>
    <row r="96" spans="1:10">
      <c r="A96" s="15"/>
      <c r="B96" s="15"/>
      <c r="C96" s="15"/>
      <c r="D96" s="17"/>
      <c r="E96" s="17"/>
      <c r="F96" s="17"/>
      <c r="G96" s="17"/>
      <c r="H96" s="17"/>
      <c r="I96" s="74"/>
      <c r="J96" s="139"/>
    </row>
    <row r="97" spans="1:10">
      <c r="A97" s="15"/>
      <c r="B97" s="15"/>
      <c r="C97" s="15"/>
      <c r="D97" s="17"/>
      <c r="E97" s="17"/>
      <c r="F97" s="17"/>
      <c r="G97" s="17"/>
      <c r="H97" s="17"/>
      <c r="I97" s="74"/>
      <c r="J97" s="139"/>
    </row>
    <row r="98" spans="1:10">
      <c r="A98" s="15"/>
      <c r="B98" s="15"/>
      <c r="C98" s="15"/>
      <c r="D98" s="17"/>
      <c r="E98" s="17"/>
      <c r="F98" s="17"/>
      <c r="G98" s="17"/>
      <c r="H98" s="17"/>
      <c r="I98" s="74"/>
      <c r="J98" s="139"/>
    </row>
    <row r="99" spans="1:10">
      <c r="A99" s="15"/>
      <c r="B99" s="15"/>
      <c r="C99" s="15"/>
      <c r="D99" s="17"/>
      <c r="E99" s="17"/>
      <c r="F99" s="17"/>
      <c r="G99" s="17"/>
      <c r="H99" s="17"/>
      <c r="I99" s="74"/>
      <c r="J99" s="139"/>
    </row>
    <row r="100" spans="1:10">
      <c r="A100" s="15"/>
      <c r="B100" s="15"/>
      <c r="C100" s="15"/>
      <c r="D100" s="17"/>
      <c r="E100" s="17"/>
      <c r="F100" s="17"/>
      <c r="G100" s="17"/>
      <c r="H100" s="17"/>
      <c r="I100" s="74"/>
      <c r="J100" s="139"/>
    </row>
    <row r="101" spans="1:10">
      <c r="A101" s="15"/>
      <c r="B101" s="15"/>
      <c r="C101" s="15"/>
      <c r="D101" s="17"/>
      <c r="E101" s="17"/>
      <c r="F101" s="17"/>
      <c r="G101" s="17"/>
      <c r="H101" s="17"/>
      <c r="I101" s="74"/>
      <c r="J101" s="139"/>
    </row>
    <row r="102" spans="1:10">
      <c r="A102" s="15"/>
      <c r="B102" s="15"/>
      <c r="C102" s="15"/>
      <c r="D102" s="17"/>
      <c r="E102" s="17"/>
      <c r="F102" s="17"/>
      <c r="G102" s="17"/>
      <c r="H102" s="17"/>
      <c r="I102" s="74"/>
      <c r="J102" s="139"/>
    </row>
    <row r="103" spans="1:10">
      <c r="A103" s="15"/>
      <c r="B103" s="15"/>
      <c r="C103" s="15"/>
      <c r="D103" s="17"/>
      <c r="E103" s="17"/>
      <c r="F103" s="17"/>
      <c r="G103" s="17"/>
      <c r="H103" s="17"/>
      <c r="I103" s="74"/>
      <c r="J103" s="139"/>
    </row>
    <row r="104" spans="1:10">
      <c r="A104" s="15"/>
      <c r="B104" s="15"/>
      <c r="C104" s="15"/>
      <c r="D104" s="17"/>
      <c r="E104" s="17"/>
      <c r="F104" s="17"/>
      <c r="G104" s="17"/>
      <c r="H104" s="17"/>
      <c r="I104" s="74"/>
      <c r="J104" s="139"/>
    </row>
    <row r="105" spans="1:10">
      <c r="A105" s="15"/>
      <c r="B105" s="15"/>
      <c r="C105" s="15"/>
      <c r="D105" s="17"/>
      <c r="E105" s="17"/>
      <c r="F105" s="17"/>
      <c r="G105" s="17"/>
      <c r="H105" s="17"/>
      <c r="I105" s="74"/>
      <c r="J105" s="139"/>
    </row>
    <row r="106" spans="1:10">
      <c r="A106" s="15"/>
      <c r="B106" s="15"/>
      <c r="C106" s="15"/>
      <c r="D106" s="17"/>
      <c r="E106" s="17"/>
      <c r="F106" s="17"/>
      <c r="G106" s="17"/>
      <c r="H106" s="17"/>
      <c r="I106" s="74"/>
      <c r="J106" s="139"/>
    </row>
    <row r="107" spans="1:10">
      <c r="A107" s="134"/>
      <c r="B107" s="134"/>
      <c r="C107" s="134"/>
      <c r="D107" s="135"/>
      <c r="E107" s="135"/>
      <c r="F107" s="135"/>
      <c r="G107" s="135"/>
      <c r="H107" s="135"/>
      <c r="I107" s="74"/>
      <c r="J107" s="139"/>
    </row>
    <row r="108" spans="1:10" ht="21">
      <c r="A108" s="337" t="s">
        <v>32</v>
      </c>
      <c r="B108" s="338"/>
      <c r="C108" s="339"/>
      <c r="D108" s="76">
        <f>SUM(D70:D107)</f>
        <v>0</v>
      </c>
      <c r="E108" s="76">
        <f>SUM(E70:E107)</f>
        <v>0</v>
      </c>
      <c r="F108" s="76">
        <f>SUM(F70:F107)</f>
        <v>0</v>
      </c>
      <c r="G108" s="76">
        <f>SUM(G70:G107)</f>
        <v>0</v>
      </c>
      <c r="H108" s="77">
        <f>SUM(H70:H107)</f>
        <v>0</v>
      </c>
      <c r="I108" s="75"/>
      <c r="J108" s="144"/>
    </row>
    <row r="109" spans="1:10" ht="21">
      <c r="A109" s="91"/>
      <c r="B109" s="91"/>
      <c r="C109" s="92"/>
      <c r="D109" s="93"/>
      <c r="E109" s="93"/>
      <c r="F109" s="93"/>
      <c r="G109" s="93"/>
      <c r="H109" s="93"/>
      <c r="I109" s="114"/>
      <c r="J109" s="114"/>
    </row>
    <row r="110" spans="1:10" ht="21">
      <c r="A110" s="335" t="s">
        <v>171</v>
      </c>
      <c r="B110" s="335"/>
      <c r="C110" s="335"/>
      <c r="D110" s="335"/>
      <c r="E110" s="335"/>
      <c r="F110" s="335"/>
      <c r="G110" s="335"/>
      <c r="H110" s="335"/>
      <c r="I110" s="335"/>
      <c r="J110" s="335"/>
    </row>
    <row r="111" spans="1:10" ht="21">
      <c r="A111" s="336" t="s">
        <v>12</v>
      </c>
      <c r="B111" s="336"/>
      <c r="C111" s="336"/>
      <c r="D111" s="336"/>
      <c r="E111" s="336"/>
      <c r="F111" s="336"/>
      <c r="G111" s="336"/>
      <c r="H111" s="336"/>
    </row>
    <row r="112" spans="1:10">
      <c r="A112" s="51" t="s">
        <v>13</v>
      </c>
      <c r="B112" s="51" t="s">
        <v>15</v>
      </c>
      <c r="C112" s="51" t="s">
        <v>14</v>
      </c>
      <c r="D112" s="68" t="s">
        <v>16</v>
      </c>
      <c r="E112" s="68" t="s">
        <v>17</v>
      </c>
      <c r="F112" s="68" t="s">
        <v>18</v>
      </c>
      <c r="G112" s="68" t="s">
        <v>19</v>
      </c>
      <c r="H112" s="68" t="s">
        <v>20</v>
      </c>
    </row>
    <row r="113" spans="1:10" ht="15.5">
      <c r="A113" s="136"/>
      <c r="B113" s="99"/>
      <c r="C113" s="41"/>
      <c r="D113" s="137"/>
      <c r="E113" s="71"/>
      <c r="F113" s="73"/>
      <c r="G113" s="71"/>
      <c r="H113" s="73"/>
    </row>
    <row r="114" spans="1:10" ht="15.5">
      <c r="A114" s="136"/>
      <c r="B114" s="99"/>
      <c r="C114" s="41"/>
      <c r="D114" s="138"/>
      <c r="E114" s="71"/>
      <c r="F114" s="73"/>
      <c r="G114" s="71"/>
      <c r="H114" s="73"/>
    </row>
    <row r="115" spans="1:10" ht="21">
      <c r="A115" s="328" t="s">
        <v>32</v>
      </c>
      <c r="B115" s="329"/>
      <c r="C115" s="347"/>
      <c r="D115" s="124">
        <f>SUM(D113:D114)</f>
        <v>0</v>
      </c>
      <c r="E115" s="124">
        <f>SUM(E113:E114)</f>
        <v>0</v>
      </c>
      <c r="F115" s="124">
        <f>SUM(F113:F114)</f>
        <v>0</v>
      </c>
      <c r="G115" s="124">
        <f>SUM(G113:G114)</f>
        <v>0</v>
      </c>
      <c r="H115" s="124">
        <f>SUM(H113:H114)</f>
        <v>0</v>
      </c>
    </row>
    <row r="116" spans="1:10" ht="21">
      <c r="A116" s="348" t="s">
        <v>33</v>
      </c>
      <c r="B116" s="342"/>
      <c r="C116" s="342"/>
      <c r="D116" s="342"/>
      <c r="E116" s="342"/>
      <c r="F116" s="342"/>
      <c r="G116" s="342"/>
      <c r="H116" s="342"/>
      <c r="I116" s="145"/>
      <c r="J116" s="146"/>
    </row>
    <row r="117" spans="1:10">
      <c r="A117" s="51" t="s">
        <v>13</v>
      </c>
      <c r="B117" s="51" t="s">
        <v>15</v>
      </c>
      <c r="C117" s="51" t="s">
        <v>34</v>
      </c>
      <c r="D117" s="68" t="s">
        <v>16</v>
      </c>
      <c r="E117" s="68" t="s">
        <v>35</v>
      </c>
      <c r="F117" s="68" t="s">
        <v>18</v>
      </c>
      <c r="G117" s="68" t="s">
        <v>19</v>
      </c>
      <c r="H117" s="68" t="s">
        <v>20</v>
      </c>
      <c r="I117" s="51" t="s">
        <v>36</v>
      </c>
      <c r="J117" s="51" t="s">
        <v>37</v>
      </c>
    </row>
    <row r="118" spans="1:10">
      <c r="A118" s="139"/>
      <c r="B118" s="139"/>
      <c r="C118" s="139"/>
      <c r="D118" s="35"/>
      <c r="E118" s="35"/>
      <c r="F118" s="35"/>
      <c r="G118" s="35"/>
      <c r="H118" s="35"/>
      <c r="I118" s="41"/>
      <c r="J118" s="41"/>
    </row>
    <row r="119" spans="1:10">
      <c r="A119" s="139"/>
      <c r="B119" s="139"/>
      <c r="C119" s="139"/>
      <c r="D119" s="35"/>
      <c r="E119" s="35"/>
      <c r="F119" s="35"/>
      <c r="G119" s="35"/>
      <c r="H119" s="35"/>
      <c r="I119" s="41"/>
      <c r="J119" s="41"/>
    </row>
    <row r="120" spans="1:10">
      <c r="A120" s="139"/>
      <c r="B120" s="139"/>
      <c r="C120" s="139"/>
      <c r="D120" s="35"/>
      <c r="E120" s="35"/>
      <c r="F120" s="35"/>
      <c r="G120" s="35"/>
      <c r="H120" s="35"/>
      <c r="I120" s="41"/>
      <c r="J120" s="41"/>
    </row>
    <row r="121" spans="1:10">
      <c r="A121" s="139"/>
      <c r="B121" s="139"/>
      <c r="C121" s="139"/>
      <c r="D121" s="35"/>
      <c r="E121" s="35"/>
      <c r="F121" s="35"/>
      <c r="G121" s="35"/>
      <c r="H121" s="35"/>
      <c r="I121" s="41"/>
      <c r="J121" s="41"/>
    </row>
    <row r="122" spans="1:10">
      <c r="A122" s="139"/>
      <c r="B122" s="139"/>
      <c r="C122" s="139"/>
      <c r="D122" s="35"/>
      <c r="E122" s="35"/>
      <c r="F122" s="35"/>
      <c r="G122" s="35"/>
      <c r="H122" s="35"/>
      <c r="I122" s="41"/>
      <c r="J122" s="41"/>
    </row>
    <row r="123" spans="1:10" s="50" customFormat="1">
      <c r="A123" s="140"/>
      <c r="B123" s="140"/>
      <c r="C123" s="140"/>
      <c r="D123" s="141"/>
      <c r="E123" s="141"/>
      <c r="F123" s="141"/>
      <c r="G123" s="141"/>
      <c r="H123" s="141"/>
      <c r="I123" s="59"/>
      <c r="J123" s="59"/>
    </row>
    <row r="124" spans="1:10">
      <c r="A124" s="139"/>
      <c r="B124" s="139"/>
      <c r="C124" s="139"/>
      <c r="D124" s="35"/>
      <c r="E124" s="35"/>
      <c r="F124" s="35"/>
      <c r="G124" s="35"/>
      <c r="H124" s="35"/>
      <c r="I124" s="41"/>
      <c r="J124" s="41"/>
    </row>
    <row r="125" spans="1:10">
      <c r="A125" s="139"/>
      <c r="B125" s="139"/>
      <c r="C125" s="139"/>
      <c r="D125" s="35"/>
      <c r="E125" s="35"/>
      <c r="F125" s="35"/>
      <c r="G125" s="35"/>
      <c r="H125" s="35"/>
      <c r="I125" s="41"/>
      <c r="J125" s="41"/>
    </row>
    <row r="126" spans="1:10">
      <c r="A126" s="139"/>
      <c r="B126" s="139"/>
      <c r="C126" s="139"/>
      <c r="D126" s="35"/>
      <c r="E126" s="35"/>
      <c r="F126" s="35"/>
      <c r="G126" s="35"/>
      <c r="H126" s="35"/>
      <c r="I126" s="41"/>
      <c r="J126" s="41"/>
    </row>
    <row r="127" spans="1:10">
      <c r="A127" s="139"/>
      <c r="B127" s="139"/>
      <c r="C127" s="139"/>
      <c r="D127" s="35"/>
      <c r="E127" s="35"/>
      <c r="F127" s="35"/>
      <c r="G127" s="35"/>
      <c r="H127" s="35"/>
      <c r="I127" s="41"/>
      <c r="J127" s="41"/>
    </row>
    <row r="128" spans="1:10">
      <c r="A128" s="139"/>
      <c r="B128" s="139"/>
      <c r="C128" s="139"/>
      <c r="D128" s="35"/>
      <c r="E128" s="35"/>
      <c r="F128" s="35"/>
      <c r="G128" s="35"/>
      <c r="H128" s="35"/>
      <c r="I128" s="41"/>
      <c r="J128" s="41"/>
    </row>
    <row r="129" spans="1:10">
      <c r="A129" s="139"/>
      <c r="B129" s="139"/>
      <c r="C129" s="139"/>
      <c r="D129" s="35"/>
      <c r="E129" s="35"/>
      <c r="F129" s="35"/>
      <c r="G129" s="35"/>
      <c r="H129" s="35"/>
      <c r="I129" s="41"/>
      <c r="J129" s="41"/>
    </row>
    <row r="130" spans="1:10">
      <c r="A130" s="139"/>
      <c r="B130" s="139"/>
      <c r="C130" s="139"/>
      <c r="D130" s="35"/>
      <c r="E130" s="35"/>
      <c r="F130" s="35"/>
      <c r="G130" s="35"/>
      <c r="H130" s="35"/>
      <c r="I130" s="41"/>
      <c r="J130" s="41"/>
    </row>
    <row r="131" spans="1:10">
      <c r="A131" s="139"/>
      <c r="B131" s="139"/>
      <c r="C131" s="139"/>
      <c r="D131" s="35"/>
      <c r="E131" s="35"/>
      <c r="F131" s="35"/>
      <c r="G131" s="35"/>
      <c r="H131" s="35"/>
      <c r="I131" s="41"/>
      <c r="J131" s="41"/>
    </row>
    <row r="132" spans="1:10">
      <c r="A132" s="139"/>
      <c r="B132" s="139"/>
      <c r="C132" s="139"/>
      <c r="D132" s="35"/>
      <c r="E132" s="35"/>
      <c r="F132" s="35"/>
      <c r="G132" s="35"/>
      <c r="H132" s="35"/>
      <c r="I132" s="41"/>
      <c r="J132" s="41"/>
    </row>
    <row r="133" spans="1:10">
      <c r="A133" s="139"/>
      <c r="B133" s="139"/>
      <c r="C133" s="139"/>
      <c r="D133" s="35"/>
      <c r="E133" s="35"/>
      <c r="F133" s="35"/>
      <c r="G133" s="35"/>
      <c r="H133" s="35"/>
      <c r="I133" s="41"/>
      <c r="J133" s="41"/>
    </row>
    <row r="134" spans="1:10">
      <c r="A134" s="139"/>
      <c r="B134" s="139"/>
      <c r="C134" s="139"/>
      <c r="D134" s="35"/>
      <c r="E134" s="35"/>
      <c r="F134" s="35"/>
      <c r="G134" s="35"/>
      <c r="H134" s="35"/>
      <c r="I134" s="41"/>
      <c r="J134" s="41"/>
    </row>
    <row r="135" spans="1:10">
      <c r="A135" s="139"/>
      <c r="B135" s="139"/>
      <c r="C135" s="139"/>
      <c r="D135" s="35"/>
      <c r="E135" s="35"/>
      <c r="F135" s="35"/>
      <c r="G135" s="35"/>
      <c r="H135" s="35"/>
      <c r="I135" s="41"/>
      <c r="J135" s="41"/>
    </row>
    <row r="136" spans="1:10">
      <c r="A136" s="139"/>
      <c r="B136" s="139"/>
      <c r="C136" s="139"/>
      <c r="D136" s="35"/>
      <c r="E136" s="35"/>
      <c r="F136" s="35"/>
      <c r="G136" s="35"/>
      <c r="H136" s="35"/>
      <c r="I136" s="41"/>
      <c r="J136" s="41"/>
    </row>
    <row r="137" spans="1:10">
      <c r="A137" s="139"/>
      <c r="B137" s="139"/>
      <c r="C137" s="139"/>
      <c r="D137" s="35"/>
      <c r="E137" s="35"/>
      <c r="F137" s="35"/>
      <c r="G137" s="35"/>
      <c r="H137" s="35"/>
      <c r="I137" s="41"/>
      <c r="J137" s="41"/>
    </row>
    <row r="138" spans="1:10">
      <c r="A138" s="139"/>
      <c r="B138" s="139"/>
      <c r="C138" s="139"/>
      <c r="D138" s="35"/>
      <c r="E138" s="35"/>
      <c r="F138" s="35"/>
      <c r="G138" s="35"/>
      <c r="H138" s="35"/>
      <c r="I138" s="41"/>
      <c r="J138" s="41"/>
    </row>
    <row r="139" spans="1:10">
      <c r="A139" s="139"/>
      <c r="B139" s="139"/>
      <c r="C139" s="139"/>
      <c r="D139" s="35"/>
      <c r="E139" s="35"/>
      <c r="F139" s="35"/>
      <c r="G139" s="35"/>
      <c r="H139" s="35"/>
      <c r="I139" s="41"/>
      <c r="J139" s="41"/>
    </row>
    <row r="140" spans="1:10">
      <c r="A140" s="139"/>
      <c r="B140" s="139"/>
      <c r="C140" s="139"/>
      <c r="D140" s="35"/>
      <c r="E140" s="35"/>
      <c r="F140" s="35"/>
      <c r="G140" s="35"/>
      <c r="H140" s="35"/>
      <c r="I140" s="41"/>
      <c r="J140" s="41"/>
    </row>
    <row r="141" spans="1:10">
      <c r="A141" s="139"/>
      <c r="B141" s="139"/>
      <c r="C141" s="139"/>
      <c r="D141" s="35"/>
      <c r="E141" s="35"/>
      <c r="F141" s="35"/>
      <c r="G141" s="35"/>
      <c r="H141" s="35"/>
      <c r="I141" s="41"/>
      <c r="J141" s="41"/>
    </row>
    <row r="142" spans="1:10">
      <c r="A142" s="139"/>
      <c r="B142" s="139"/>
      <c r="C142" s="139"/>
      <c r="D142" s="35"/>
      <c r="E142" s="35"/>
      <c r="F142" s="35"/>
      <c r="G142" s="35"/>
      <c r="H142" s="35"/>
      <c r="I142" s="41"/>
      <c r="J142" s="41"/>
    </row>
    <row r="143" spans="1:10">
      <c r="A143" s="139"/>
      <c r="B143" s="139"/>
      <c r="C143" s="139"/>
      <c r="D143" s="35"/>
      <c r="E143" s="35"/>
      <c r="F143" s="35"/>
      <c r="G143" s="35"/>
      <c r="H143" s="35"/>
      <c r="I143" s="41"/>
      <c r="J143" s="41"/>
    </row>
    <row r="144" spans="1:10" ht="21">
      <c r="A144" s="324" t="s">
        <v>32</v>
      </c>
      <c r="B144" s="325"/>
      <c r="C144" s="349"/>
      <c r="D144" s="147">
        <f>SUM(D118:D143)</f>
        <v>0</v>
      </c>
      <c r="E144" s="147">
        <f t="shared" ref="E144:H144" si="0">SUM(E118:E143)</f>
        <v>0</v>
      </c>
      <c r="F144" s="147">
        <f t="shared" si="0"/>
        <v>0</v>
      </c>
      <c r="G144" s="147">
        <f t="shared" si="0"/>
        <v>0</v>
      </c>
      <c r="H144" s="147">
        <f t="shared" si="0"/>
        <v>0</v>
      </c>
      <c r="I144" s="152"/>
      <c r="J144" s="152"/>
    </row>
    <row r="146" spans="1:8" s="66" customFormat="1" ht="21">
      <c r="A146" s="350" t="s">
        <v>172</v>
      </c>
      <c r="B146" s="351"/>
      <c r="C146" s="352"/>
      <c r="D146" s="148">
        <f>D115-D144</f>
        <v>0</v>
      </c>
      <c r="E146" s="149">
        <f>E115-E144</f>
        <v>0</v>
      </c>
      <c r="F146" s="150">
        <f>F115-F144</f>
        <v>0</v>
      </c>
      <c r="G146" s="151">
        <f>G115-G144</f>
        <v>0</v>
      </c>
      <c r="H146" s="148">
        <f>H115-H144</f>
        <v>0</v>
      </c>
    </row>
    <row r="147" spans="1:8">
      <c r="D147" s="48"/>
      <c r="E147" s="48"/>
      <c r="F147" s="48"/>
      <c r="G147" s="48"/>
    </row>
    <row r="148" spans="1:8">
      <c r="D148" s="48"/>
      <c r="E148" s="104">
        <f>F115+G115</f>
        <v>0</v>
      </c>
      <c r="F148" s="48">
        <v>51320</v>
      </c>
      <c r="G148" s="48"/>
    </row>
    <row r="149" spans="1:8">
      <c r="D149" s="48"/>
      <c r="E149" s="104">
        <f>E144+F144+G144</f>
        <v>0</v>
      </c>
      <c r="F149" s="48">
        <v>8771</v>
      </c>
      <c r="G149" s="48"/>
    </row>
    <row r="150" spans="1:8">
      <c r="D150" s="48"/>
      <c r="E150" s="104">
        <f>E148-E149</f>
        <v>0</v>
      </c>
      <c r="F150" s="49">
        <f>SUM(F148:F149)</f>
        <v>60091</v>
      </c>
      <c r="G150" s="48"/>
    </row>
    <row r="151" spans="1:8">
      <c r="D151" s="48"/>
      <c r="E151" s="104"/>
      <c r="F151" s="48"/>
      <c r="G151" s="48"/>
    </row>
    <row r="152" spans="1:8">
      <c r="D152" s="48"/>
      <c r="E152" s="48"/>
      <c r="F152" s="48"/>
      <c r="G152" s="48"/>
    </row>
    <row r="153" spans="1:8">
      <c r="D153" s="48"/>
      <c r="E153" s="48"/>
      <c r="F153" s="48"/>
      <c r="G153" s="48"/>
    </row>
    <row r="154" spans="1:8">
      <c r="D154" s="48"/>
      <c r="E154" s="48"/>
      <c r="F154" s="48"/>
      <c r="G154" s="48"/>
    </row>
    <row r="155" spans="1:8">
      <c r="D155" s="48"/>
      <c r="E155" s="48"/>
      <c r="F155" s="48"/>
      <c r="G155" s="48"/>
    </row>
    <row r="156" spans="1:8">
      <c r="D156" s="48"/>
      <c r="E156" s="48"/>
      <c r="F156" s="48"/>
      <c r="G156" s="48"/>
    </row>
    <row r="157" spans="1:8">
      <c r="D157" s="48"/>
      <c r="E157" s="48"/>
      <c r="F157" s="48"/>
      <c r="G157" s="48"/>
    </row>
    <row r="158" spans="1:8">
      <c r="D158" s="48"/>
      <c r="E158" s="48"/>
      <c r="F158" s="48"/>
      <c r="G158" s="48"/>
    </row>
    <row r="159" spans="1:8">
      <c r="D159" s="48"/>
      <c r="E159" s="48"/>
      <c r="F159" s="48"/>
      <c r="G159" s="48"/>
    </row>
    <row r="160" spans="1:8">
      <c r="D160" s="48"/>
      <c r="E160" s="48"/>
      <c r="F160" s="48"/>
      <c r="G160" s="48"/>
    </row>
    <row r="161" spans="4:7">
      <c r="D161" s="48"/>
      <c r="E161" s="48"/>
      <c r="F161" s="48"/>
      <c r="G161" s="48"/>
    </row>
    <row r="162" spans="4:7">
      <c r="D162" s="48"/>
      <c r="E162" s="48"/>
      <c r="F162" s="48"/>
      <c r="G162" s="48"/>
    </row>
    <row r="163" spans="4:7">
      <c r="D163" s="48"/>
      <c r="E163" s="48"/>
      <c r="F163" s="48"/>
      <c r="G163" s="48"/>
    </row>
    <row r="164" spans="4:7">
      <c r="D164" s="48"/>
      <c r="E164" s="48"/>
      <c r="F164" s="48"/>
      <c r="G164" s="48"/>
    </row>
    <row r="165" spans="4:7">
      <c r="D165" s="48"/>
      <c r="E165" s="48"/>
      <c r="F165" s="48"/>
      <c r="G165" s="48"/>
    </row>
    <row r="166" spans="4:7">
      <c r="D166" s="48"/>
      <c r="E166" s="48"/>
      <c r="F166" s="48"/>
      <c r="G166" s="48"/>
    </row>
    <row r="167" spans="4:7">
      <c r="D167" s="48"/>
      <c r="E167" s="48"/>
      <c r="F167" s="48"/>
      <c r="G167" s="48"/>
    </row>
    <row r="168" spans="4:7">
      <c r="D168" s="48"/>
      <c r="E168" s="48"/>
      <c r="F168" s="48"/>
      <c r="G168" s="48"/>
    </row>
    <row r="169" spans="4:7">
      <c r="D169" s="48"/>
      <c r="E169" s="48"/>
      <c r="F169" s="48"/>
      <c r="G169" s="48"/>
    </row>
    <row r="170" spans="4:7">
      <c r="D170" s="48"/>
      <c r="E170" s="48"/>
      <c r="F170" s="48"/>
      <c r="G170" s="48"/>
    </row>
    <row r="171" spans="4:7">
      <c r="D171" s="48"/>
      <c r="E171" s="48"/>
      <c r="F171" s="48"/>
      <c r="G171" s="48"/>
    </row>
    <row r="172" spans="4:7">
      <c r="D172" s="48"/>
      <c r="E172" s="48"/>
      <c r="F172" s="48"/>
      <c r="G172" s="48"/>
    </row>
    <row r="174" spans="4:7">
      <c r="D174" s="48"/>
      <c r="E174" s="48"/>
      <c r="F174" s="48"/>
      <c r="G174" s="48"/>
    </row>
  </sheetData>
  <autoFilter ref="A117:H144" xr:uid="{00000000-0009-0000-0000-000003000000}"/>
  <mergeCells count="17">
    <mergeCell ref="A144:C144"/>
    <mergeCell ref="A146:C146"/>
    <mergeCell ref="A108:C108"/>
    <mergeCell ref="A110:J110"/>
    <mergeCell ref="A111:H111"/>
    <mergeCell ref="A115:C115"/>
    <mergeCell ref="A116:H116"/>
    <mergeCell ref="A52:C52"/>
    <mergeCell ref="A54:J54"/>
    <mergeCell ref="A55:H55"/>
    <mergeCell ref="A67:C67"/>
    <mergeCell ref="A68:J68"/>
    <mergeCell ref="A2:J2"/>
    <mergeCell ref="A3:H3"/>
    <mergeCell ref="A13:C13"/>
    <mergeCell ref="A14:J14"/>
    <mergeCell ref="A50:C50"/>
  </mergeCells>
  <pageMargins left="0.7" right="0.7" top="0.75" bottom="0.75" header="0.3" footer="0.3"/>
  <pageSetup orientation="portrait" horizontalDpi="360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A5" sqref="A5:XFD6"/>
    </sheetView>
  </sheetViews>
  <sheetFormatPr defaultColWidth="9" defaultRowHeight="14.5"/>
  <cols>
    <col min="1" max="1" width="9.36328125" customWidth="1"/>
    <col min="2" max="2" width="40.453125" customWidth="1"/>
    <col min="3" max="3" width="11.6328125" customWidth="1"/>
    <col min="8" max="8" width="22.1796875" customWidth="1"/>
    <col min="9" max="9" width="18.453125" customWidth="1"/>
    <col min="10" max="10" width="7.08984375" customWidth="1"/>
  </cols>
  <sheetData>
    <row r="1" spans="1:10" s="48" customFormat="1" ht="21">
      <c r="A1" s="348" t="s">
        <v>33</v>
      </c>
      <c r="B1" s="342"/>
      <c r="C1" s="342"/>
      <c r="D1" s="342"/>
      <c r="E1" s="342"/>
      <c r="F1" s="342"/>
      <c r="G1" s="342"/>
      <c r="H1" s="342"/>
      <c r="I1" s="342"/>
      <c r="J1" s="343"/>
    </row>
    <row r="2" spans="1:10" s="48" customFormat="1" ht="29">
      <c r="A2" s="51" t="s">
        <v>13</v>
      </c>
      <c r="B2" s="51" t="s">
        <v>15</v>
      </c>
      <c r="C2" s="51" t="s">
        <v>34</v>
      </c>
      <c r="D2" s="51" t="s">
        <v>16</v>
      </c>
      <c r="E2" s="51" t="s">
        <v>35</v>
      </c>
      <c r="F2" s="51" t="s">
        <v>18</v>
      </c>
      <c r="G2" s="51" t="s">
        <v>19</v>
      </c>
      <c r="H2" s="51" t="s">
        <v>20</v>
      </c>
      <c r="I2" s="51" t="s">
        <v>36</v>
      </c>
      <c r="J2" s="51" t="s">
        <v>37</v>
      </c>
    </row>
    <row r="3" spans="1:10" s="49" customFormat="1">
      <c r="A3" s="52" t="s">
        <v>173</v>
      </c>
      <c r="B3" s="53" t="s">
        <v>48</v>
      </c>
      <c r="C3" s="54" t="s">
        <v>174</v>
      </c>
      <c r="D3" s="54">
        <v>2450</v>
      </c>
      <c r="E3" s="55">
        <v>441</v>
      </c>
      <c r="F3" s="54"/>
      <c r="G3" s="54"/>
      <c r="H3" s="56">
        <f>D3+E3+F3+G3</f>
        <v>2891</v>
      </c>
      <c r="I3" s="62"/>
      <c r="J3" s="54"/>
    </row>
    <row r="4" spans="1:10" s="48" customFormat="1">
      <c r="A4" s="51"/>
      <c r="B4" s="51"/>
      <c r="C4" s="51"/>
      <c r="D4" s="51"/>
      <c r="E4" s="51"/>
      <c r="F4" s="51"/>
      <c r="G4" s="51"/>
      <c r="H4" s="51"/>
      <c r="I4" s="51"/>
      <c r="J4" s="51"/>
    </row>
    <row r="5" spans="1:10" s="50" customFormat="1">
      <c r="A5" s="57">
        <v>45614</v>
      </c>
      <c r="B5" s="58" t="s">
        <v>48</v>
      </c>
      <c r="C5" s="59" t="s">
        <v>175</v>
      </c>
      <c r="D5" s="59">
        <v>53775</v>
      </c>
      <c r="E5" s="60">
        <f>D5*18%</f>
        <v>9679.5</v>
      </c>
      <c r="F5" s="59"/>
      <c r="G5" s="59"/>
      <c r="H5" s="61">
        <f>D5+E5+F5+G5</f>
        <v>63454.5</v>
      </c>
      <c r="I5" s="63" t="s">
        <v>176</v>
      </c>
      <c r="J5" s="59"/>
    </row>
    <row r="6" spans="1:10" s="50" customFormat="1">
      <c r="A6" s="57">
        <v>45614</v>
      </c>
      <c r="B6" s="58" t="s">
        <v>48</v>
      </c>
      <c r="C6" s="59" t="s">
        <v>175</v>
      </c>
      <c r="D6" s="59">
        <f>D5-'Oct-25 to Dec-25'!D65</f>
        <v>53775</v>
      </c>
      <c r="E6" s="60">
        <f>D6*18%</f>
        <v>9679.5</v>
      </c>
      <c r="F6" s="59"/>
      <c r="G6" s="59"/>
      <c r="H6" s="61">
        <f>D6+E6+F6+G6</f>
        <v>63454.5</v>
      </c>
      <c r="I6" s="63" t="s">
        <v>177</v>
      </c>
      <c r="J6" s="59"/>
    </row>
  </sheetData>
  <mergeCells count="1">
    <mergeCell ref="A1:J1"/>
  </mergeCells>
  <pageMargins left="0.7" right="0.7" top="0.75" bottom="0.75" header="0.3" footer="0.3"/>
  <pageSetup orientation="portrait" horizontalDpi="360" verticalDpi="3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00"/>
  <sheetViews>
    <sheetView topLeftCell="A55" workbookViewId="0">
      <selection activeCell="A52" sqref="A52:XFD70"/>
    </sheetView>
  </sheetViews>
  <sheetFormatPr defaultColWidth="9" defaultRowHeight="14.5"/>
  <cols>
    <col min="1" max="1" width="10.6328125" customWidth="1"/>
    <col min="2" max="2" width="36.1796875" customWidth="1"/>
    <col min="3" max="3" width="19.6328125" customWidth="1"/>
    <col min="4" max="4" width="15.54296875" customWidth="1"/>
    <col min="5" max="5" width="15.90625" customWidth="1"/>
    <col min="6" max="6" width="15.54296875" customWidth="1"/>
    <col min="7" max="7" width="15" customWidth="1"/>
    <col min="8" max="8" width="22.1796875" customWidth="1"/>
    <col min="9" max="9" width="13.54296875" customWidth="1"/>
  </cols>
  <sheetData>
    <row r="2" spans="1:10" ht="21">
      <c r="A2" s="353" t="s">
        <v>178</v>
      </c>
      <c r="B2" s="353"/>
      <c r="C2" s="353"/>
      <c r="D2" s="353"/>
      <c r="E2" s="353"/>
      <c r="F2" s="353"/>
      <c r="G2" s="353"/>
      <c r="H2" s="353"/>
      <c r="I2" s="309"/>
      <c r="J2" s="309"/>
    </row>
    <row r="3" spans="1:10" ht="21">
      <c r="A3" s="354" t="s">
        <v>12</v>
      </c>
      <c r="B3" s="355"/>
      <c r="C3" s="355"/>
      <c r="D3" s="355"/>
      <c r="E3" s="355"/>
      <c r="F3" s="355"/>
      <c r="G3" s="355"/>
      <c r="H3" s="356"/>
    </row>
    <row r="4" spans="1:10" ht="15.65" customHeight="1">
      <c r="A4" s="4" t="s">
        <v>13</v>
      </c>
      <c r="B4" s="4" t="s">
        <v>15</v>
      </c>
      <c r="C4" s="4" t="s">
        <v>14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28"/>
      <c r="J4" s="28"/>
    </row>
    <row r="5" spans="1:10">
      <c r="A5" s="5"/>
      <c r="B5" s="6"/>
      <c r="C5" s="6"/>
      <c r="D5" s="7"/>
      <c r="E5" s="7"/>
      <c r="F5" s="7"/>
      <c r="G5" s="7"/>
      <c r="H5" s="7"/>
      <c r="I5" s="28"/>
      <c r="J5" s="28"/>
    </row>
    <row r="6" spans="1:10">
      <c r="A6" s="7"/>
      <c r="B6" s="6"/>
      <c r="C6" s="6"/>
      <c r="D6" s="7"/>
      <c r="E6" s="7"/>
      <c r="F6" s="7"/>
      <c r="G6" s="7"/>
      <c r="H6" s="7"/>
      <c r="I6" s="28"/>
      <c r="J6" s="28"/>
    </row>
    <row r="7" spans="1:10">
      <c r="A7" s="7"/>
      <c r="B7" s="6"/>
      <c r="C7" s="6"/>
      <c r="D7" s="7"/>
      <c r="E7" s="7"/>
      <c r="F7" s="7"/>
      <c r="G7" s="7"/>
      <c r="H7" s="7"/>
    </row>
    <row r="8" spans="1:10">
      <c r="A8" s="7"/>
      <c r="B8" s="7"/>
      <c r="C8" s="7"/>
      <c r="D8" s="7"/>
      <c r="E8" s="7"/>
      <c r="F8" s="7"/>
      <c r="G8" s="7"/>
      <c r="H8" s="7"/>
    </row>
    <row r="9" spans="1:10">
      <c r="A9" s="7"/>
      <c r="B9" s="7"/>
      <c r="C9" s="7"/>
      <c r="D9" s="7"/>
      <c r="E9" s="7"/>
      <c r="F9" s="7"/>
      <c r="G9" s="7"/>
      <c r="H9" s="7"/>
    </row>
    <row r="10" spans="1:10" ht="21">
      <c r="A10" s="319" t="s">
        <v>32</v>
      </c>
      <c r="B10" s="320"/>
      <c r="C10" s="357"/>
      <c r="D10" s="8">
        <f>SUM(D5:D9)</f>
        <v>0</v>
      </c>
      <c r="E10" s="8">
        <f>SUM(E5:E9)</f>
        <v>0</v>
      </c>
      <c r="F10" s="8">
        <f>SUM(F5:F7)</f>
        <v>0</v>
      </c>
      <c r="G10" s="8">
        <f>SUM(G5:G7)</f>
        <v>0</v>
      </c>
      <c r="H10" s="8">
        <f>SUM(H5:H9)</f>
        <v>0</v>
      </c>
    </row>
    <row r="11" spans="1:10" ht="21">
      <c r="A11" s="321" t="s">
        <v>33</v>
      </c>
      <c r="B11" s="322"/>
      <c r="C11" s="322"/>
      <c r="D11" s="322"/>
      <c r="E11" s="322"/>
      <c r="F11" s="322"/>
      <c r="G11" s="322"/>
      <c r="H11" s="322"/>
      <c r="I11" s="322"/>
      <c r="J11" s="323"/>
    </row>
    <row r="12" spans="1:10">
      <c r="A12" s="9" t="s">
        <v>13</v>
      </c>
      <c r="B12" s="9" t="s">
        <v>15</v>
      </c>
      <c r="C12" s="9" t="s">
        <v>14</v>
      </c>
      <c r="D12" s="9" t="s">
        <v>16</v>
      </c>
      <c r="E12" s="9" t="s">
        <v>35</v>
      </c>
      <c r="F12" s="9" t="s">
        <v>18</v>
      </c>
      <c r="G12" s="9" t="s">
        <v>19</v>
      </c>
      <c r="H12" s="9" t="s">
        <v>20</v>
      </c>
      <c r="I12" s="9" t="s">
        <v>36</v>
      </c>
      <c r="J12" s="9" t="s">
        <v>37</v>
      </c>
    </row>
    <row r="13" spans="1:10" s="1" customFormat="1">
      <c r="A13" s="10"/>
      <c r="B13" s="11"/>
      <c r="C13" s="12"/>
      <c r="D13" s="13"/>
      <c r="E13" s="13"/>
      <c r="F13" s="13"/>
      <c r="G13" s="13"/>
      <c r="H13" s="13"/>
      <c r="I13" s="13"/>
      <c r="J13" s="13"/>
    </row>
    <row r="14" spans="1:10" s="1" customFormat="1">
      <c r="A14" s="10"/>
      <c r="B14" s="11"/>
      <c r="C14" s="11"/>
      <c r="D14" s="13"/>
      <c r="E14" s="13"/>
      <c r="F14" s="13"/>
      <c r="G14" s="13"/>
      <c r="H14" s="14"/>
      <c r="I14" s="13"/>
      <c r="J14" s="13"/>
    </row>
    <row r="15" spans="1:10" s="1" customFormat="1">
      <c r="A15" s="10"/>
      <c r="B15" s="11"/>
      <c r="C15" s="11"/>
      <c r="D15" s="13"/>
      <c r="E15" s="13"/>
      <c r="F15" s="13"/>
      <c r="G15" s="13"/>
      <c r="H15" s="13"/>
      <c r="I15" s="13"/>
      <c r="J15" s="13"/>
    </row>
    <row r="16" spans="1:10">
      <c r="A16" s="15"/>
      <c r="B16" s="16"/>
      <c r="C16" s="15"/>
      <c r="D16" s="17"/>
      <c r="E16" s="17"/>
      <c r="F16" s="17"/>
      <c r="G16" s="17"/>
      <c r="H16" s="17"/>
      <c r="I16" s="29"/>
      <c r="J16" s="7"/>
    </row>
    <row r="17" spans="1:10">
      <c r="A17" s="15"/>
      <c r="B17" s="16"/>
      <c r="C17" s="15"/>
      <c r="D17" s="17"/>
      <c r="E17" s="17"/>
      <c r="F17" s="17"/>
      <c r="G17" s="17"/>
      <c r="H17" s="17"/>
      <c r="I17" s="29"/>
      <c r="J17" s="7"/>
    </row>
    <row r="18" spans="1:10">
      <c r="A18" s="15"/>
      <c r="B18" s="16"/>
      <c r="C18" s="15"/>
      <c r="D18" s="17"/>
      <c r="E18" s="17"/>
      <c r="F18" s="17"/>
      <c r="G18" s="17"/>
      <c r="H18" s="17"/>
      <c r="I18" s="29"/>
      <c r="J18" s="7"/>
    </row>
    <row r="19" spans="1:10">
      <c r="A19" s="15"/>
      <c r="B19" s="15"/>
      <c r="C19" s="15"/>
      <c r="D19" s="17"/>
      <c r="E19" s="17"/>
      <c r="F19" s="17"/>
      <c r="G19" s="17"/>
      <c r="H19" s="17"/>
      <c r="I19" s="29"/>
      <c r="J19" s="7"/>
    </row>
    <row r="20" spans="1:10">
      <c r="A20" s="15"/>
      <c r="B20" s="15"/>
      <c r="C20" s="15"/>
      <c r="D20" s="17"/>
      <c r="E20" s="17"/>
      <c r="F20" s="17"/>
      <c r="G20" s="17"/>
      <c r="H20" s="17"/>
      <c r="I20" s="29"/>
      <c r="J20" s="7"/>
    </row>
    <row r="21" spans="1:10">
      <c r="A21" s="15"/>
      <c r="B21" s="15"/>
      <c r="C21" s="15"/>
      <c r="D21" s="17"/>
      <c r="E21" s="17"/>
      <c r="F21" s="17"/>
      <c r="G21" s="17"/>
      <c r="H21" s="17"/>
      <c r="I21" s="29"/>
      <c r="J21" s="7"/>
    </row>
    <row r="22" spans="1:10">
      <c r="A22" s="15"/>
      <c r="B22" s="15"/>
      <c r="C22" s="15"/>
      <c r="D22" s="17"/>
      <c r="E22" s="17"/>
      <c r="F22" s="17"/>
      <c r="G22" s="17"/>
      <c r="H22" s="17"/>
      <c r="I22" s="29"/>
      <c r="J22" s="7"/>
    </row>
    <row r="23" spans="1:10">
      <c r="A23" s="15"/>
      <c r="B23" s="15"/>
      <c r="C23" s="15"/>
      <c r="D23" s="17"/>
      <c r="E23" s="17"/>
      <c r="F23" s="17"/>
      <c r="G23" s="17"/>
      <c r="H23" s="17"/>
      <c r="I23" s="29"/>
      <c r="J23" s="7"/>
    </row>
    <row r="24" spans="1:10">
      <c r="A24" s="15"/>
      <c r="B24" s="15"/>
      <c r="C24" s="15"/>
      <c r="D24" s="17"/>
      <c r="E24" s="17"/>
      <c r="F24" s="17"/>
      <c r="G24" s="17"/>
      <c r="H24" s="17"/>
      <c r="I24" s="29"/>
      <c r="J24" s="7"/>
    </row>
    <row r="25" spans="1:10">
      <c r="A25" s="15"/>
      <c r="B25" s="15"/>
      <c r="C25" s="15"/>
      <c r="D25" s="17"/>
      <c r="E25" s="17"/>
      <c r="F25" s="17"/>
      <c r="G25" s="17"/>
      <c r="H25" s="17"/>
      <c r="I25" s="29"/>
      <c r="J25" s="7"/>
    </row>
    <row r="26" spans="1:10">
      <c r="A26" s="15"/>
      <c r="B26" s="15"/>
      <c r="C26" s="15"/>
      <c r="D26" s="17"/>
      <c r="E26" s="17"/>
      <c r="F26" s="17"/>
      <c r="G26" s="17"/>
      <c r="H26" s="17"/>
      <c r="I26" s="29"/>
      <c r="J26" s="7"/>
    </row>
    <row r="27" spans="1:10">
      <c r="A27" s="15"/>
      <c r="B27" s="15"/>
      <c r="C27" s="15"/>
      <c r="D27" s="17"/>
      <c r="E27" s="17"/>
      <c r="F27" s="17"/>
      <c r="G27" s="17"/>
      <c r="H27" s="17"/>
      <c r="I27" s="29"/>
      <c r="J27" s="7"/>
    </row>
    <row r="28" spans="1:10">
      <c r="A28" s="15"/>
      <c r="B28" s="16"/>
      <c r="C28" s="15"/>
      <c r="D28" s="17"/>
      <c r="E28" s="17"/>
      <c r="F28" s="17"/>
      <c r="G28" s="17"/>
      <c r="H28" s="17"/>
      <c r="I28" s="29"/>
      <c r="J28" s="7"/>
    </row>
    <row r="29" spans="1:10">
      <c r="A29" s="15"/>
      <c r="B29" s="15"/>
      <c r="C29" s="15"/>
      <c r="D29" s="17"/>
      <c r="E29" s="17"/>
      <c r="F29" s="17"/>
      <c r="G29" s="17"/>
      <c r="H29" s="17"/>
      <c r="I29" s="29"/>
      <c r="J29" s="7"/>
    </row>
    <row r="30" spans="1:10">
      <c r="A30" s="15"/>
      <c r="B30" s="15"/>
      <c r="C30" s="15"/>
      <c r="D30" s="17"/>
      <c r="E30" s="17"/>
      <c r="F30" s="17"/>
      <c r="G30" s="17"/>
      <c r="H30" s="17"/>
      <c r="I30" s="29"/>
      <c r="J30" s="7"/>
    </row>
    <row r="31" spans="1:10">
      <c r="A31" s="15"/>
      <c r="B31" s="16"/>
      <c r="C31" s="15"/>
      <c r="D31" s="17"/>
      <c r="E31" s="17"/>
      <c r="F31" s="17"/>
      <c r="G31" s="17"/>
      <c r="H31" s="17"/>
      <c r="I31" s="29"/>
      <c r="J31" s="7"/>
    </row>
    <row r="32" spans="1:10">
      <c r="A32" s="15"/>
      <c r="B32" s="16"/>
      <c r="C32" s="15"/>
      <c r="D32" s="17"/>
      <c r="E32" s="17"/>
      <c r="F32" s="17"/>
      <c r="G32" s="17"/>
      <c r="H32" s="17"/>
      <c r="I32" s="29"/>
      <c r="J32" s="7"/>
    </row>
    <row r="33" spans="1:10">
      <c r="A33" s="15"/>
      <c r="B33" s="16"/>
      <c r="C33" s="15"/>
      <c r="D33" s="17"/>
      <c r="E33" s="17"/>
      <c r="F33" s="17"/>
      <c r="G33" s="17"/>
      <c r="H33" s="17"/>
      <c r="I33" s="29"/>
      <c r="J33" s="7"/>
    </row>
    <row r="34" spans="1:10">
      <c r="A34" s="15"/>
      <c r="B34" s="16"/>
      <c r="C34" s="15"/>
      <c r="D34" s="17"/>
      <c r="E34" s="17"/>
      <c r="F34" s="17"/>
      <c r="G34" s="17"/>
      <c r="H34" s="17"/>
      <c r="I34" s="29"/>
      <c r="J34" s="7"/>
    </row>
    <row r="35" spans="1:10">
      <c r="A35" s="15"/>
      <c r="B35" s="16"/>
      <c r="C35" s="15"/>
      <c r="D35" s="17"/>
      <c r="E35" s="17"/>
      <c r="F35" s="17"/>
      <c r="G35" s="17"/>
      <c r="H35" s="17"/>
      <c r="I35" s="29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21">
      <c r="A38" s="333" t="s">
        <v>32</v>
      </c>
      <c r="B38" s="334"/>
      <c r="C38" s="358"/>
      <c r="D38" s="18">
        <f>SUM(D13:D37)</f>
        <v>0</v>
      </c>
      <c r="E38" s="18">
        <f t="shared" ref="E38:H38" si="0">SUM(E13:E37)</f>
        <v>0</v>
      </c>
      <c r="F38" s="18">
        <f t="shared" si="0"/>
        <v>0</v>
      </c>
      <c r="G38" s="18">
        <f t="shared" si="0"/>
        <v>0</v>
      </c>
      <c r="H38" s="18">
        <f t="shared" si="0"/>
        <v>0</v>
      </c>
      <c r="I38" s="18"/>
      <c r="J38" s="18"/>
    </row>
    <row r="39" spans="1:10" ht="21">
      <c r="A39" s="19"/>
      <c r="B39" s="19"/>
      <c r="C39" s="19"/>
      <c r="D39" s="20">
        <f>F10+G10</f>
        <v>0</v>
      </c>
      <c r="E39" s="20">
        <f>E38+F38</f>
        <v>0</v>
      </c>
      <c r="G39" s="21">
        <f>D39-E39</f>
        <v>0</v>
      </c>
      <c r="H39" s="19"/>
      <c r="I39" s="19"/>
      <c r="J39" s="19"/>
    </row>
    <row r="40" spans="1:10" ht="21">
      <c r="A40" s="359" t="s">
        <v>172</v>
      </c>
      <c r="B40" s="360"/>
      <c r="C40" s="361"/>
      <c r="D40" s="22">
        <f>D10-D38</f>
        <v>0</v>
      </c>
      <c r="E40" s="23">
        <f>E10-E38</f>
        <v>0</v>
      </c>
      <c r="F40" s="23">
        <f>F10-F38</f>
        <v>0</v>
      </c>
      <c r="G40" s="23">
        <f>G10-G38</f>
        <v>0</v>
      </c>
      <c r="H40" s="24">
        <f>H10-H38</f>
        <v>0</v>
      </c>
      <c r="I40" s="19"/>
      <c r="J40" s="19"/>
    </row>
    <row r="41" spans="1:10">
      <c r="A41" s="309" t="s">
        <v>179</v>
      </c>
      <c r="B41" s="309"/>
      <c r="C41" s="309"/>
      <c r="D41" s="309"/>
      <c r="E41" s="309"/>
      <c r="F41" s="309"/>
      <c r="G41" s="309"/>
      <c r="H41" s="309"/>
    </row>
    <row r="42" spans="1:10" ht="21">
      <c r="A42" s="309"/>
      <c r="B42" s="309"/>
      <c r="C42" s="309"/>
      <c r="D42" s="309"/>
      <c r="E42" s="309"/>
      <c r="F42" s="309"/>
      <c r="G42" s="309"/>
      <c r="H42" s="309"/>
      <c r="I42" s="30"/>
      <c r="J42" s="31"/>
    </row>
    <row r="43" spans="1:10" ht="21">
      <c r="A43" s="318" t="s">
        <v>12</v>
      </c>
      <c r="B43" s="318"/>
      <c r="C43" s="318"/>
      <c r="D43" s="318"/>
      <c r="E43" s="318"/>
      <c r="F43" s="318"/>
      <c r="G43" s="318"/>
      <c r="H43" s="318"/>
    </row>
    <row r="44" spans="1:10">
      <c r="A44" s="9" t="s">
        <v>13</v>
      </c>
      <c r="B44" s="9" t="s">
        <v>15</v>
      </c>
      <c r="C44" s="9" t="s">
        <v>14</v>
      </c>
      <c r="D44" s="9" t="s">
        <v>16</v>
      </c>
      <c r="E44" s="9" t="s">
        <v>17</v>
      </c>
      <c r="F44" s="9" t="s">
        <v>18</v>
      </c>
      <c r="G44" s="9" t="s">
        <v>19</v>
      </c>
      <c r="H44" s="9" t="s">
        <v>20</v>
      </c>
    </row>
    <row r="45" spans="1:10">
      <c r="A45" s="25"/>
      <c r="B45" s="6"/>
      <c r="C45" s="7"/>
      <c r="D45" s="7"/>
      <c r="E45" s="26"/>
      <c r="F45" s="7"/>
      <c r="G45" s="7"/>
      <c r="H45" s="7"/>
    </row>
    <row r="46" spans="1:10">
      <c r="A46" s="27"/>
      <c r="B46" s="6"/>
      <c r="C46" s="7"/>
      <c r="D46" s="7"/>
      <c r="E46" s="7"/>
      <c r="F46" s="7"/>
      <c r="G46" s="7"/>
      <c r="H46" s="7"/>
    </row>
    <row r="47" spans="1:10">
      <c r="A47" s="7"/>
      <c r="B47" s="7"/>
      <c r="C47" s="7"/>
      <c r="D47" s="7"/>
      <c r="E47" s="7"/>
      <c r="F47" s="7"/>
      <c r="G47" s="7"/>
      <c r="H47" s="7"/>
    </row>
    <row r="48" spans="1:10">
      <c r="A48" s="7"/>
      <c r="B48" s="7"/>
      <c r="C48" s="7"/>
      <c r="D48" s="7"/>
      <c r="E48" s="7"/>
      <c r="F48" s="7"/>
      <c r="G48" s="7"/>
      <c r="H48" s="7"/>
    </row>
    <row r="49" spans="1:10" ht="21">
      <c r="A49" s="362" t="s">
        <v>32</v>
      </c>
      <c r="B49" s="362"/>
      <c r="C49" s="362"/>
      <c r="D49" s="18">
        <f>SUM(D45:D48)</f>
        <v>0</v>
      </c>
      <c r="E49" s="18">
        <f>SUM(E45:E48)</f>
        <v>0</v>
      </c>
      <c r="F49" s="18">
        <f>SUM(F45:F48)</f>
        <v>0</v>
      </c>
      <c r="G49" s="18">
        <f>SUM(G45:G48)</f>
        <v>0</v>
      </c>
      <c r="H49" s="18">
        <f>SUM(H45:H48)</f>
        <v>0</v>
      </c>
    </row>
    <row r="50" spans="1:10" ht="21">
      <c r="A50" s="318" t="s">
        <v>33</v>
      </c>
      <c r="B50" s="318"/>
      <c r="C50" s="318"/>
      <c r="D50" s="318"/>
      <c r="E50" s="318"/>
      <c r="F50" s="318"/>
      <c r="G50" s="318"/>
      <c r="H50" s="318"/>
      <c r="I50" s="32"/>
      <c r="J50" s="33"/>
    </row>
    <row r="51" spans="1:10">
      <c r="A51" s="9" t="s">
        <v>13</v>
      </c>
      <c r="B51" s="9" t="s">
        <v>15</v>
      </c>
      <c r="C51" s="9" t="s">
        <v>34</v>
      </c>
      <c r="D51" s="9" t="s">
        <v>16</v>
      </c>
      <c r="E51" s="9" t="s">
        <v>35</v>
      </c>
      <c r="F51" s="9" t="s">
        <v>18</v>
      </c>
      <c r="G51" s="9" t="s">
        <v>19</v>
      </c>
      <c r="H51" s="9" t="s">
        <v>20</v>
      </c>
      <c r="I51" s="34" t="s">
        <v>36</v>
      </c>
      <c r="J51" s="9" t="s">
        <v>37</v>
      </c>
    </row>
    <row r="52" spans="1:10" s="2" customFormat="1">
      <c r="A52" s="15"/>
      <c r="B52" s="15"/>
      <c r="C52" s="15"/>
      <c r="D52" s="17"/>
      <c r="E52" s="17"/>
      <c r="F52" s="17"/>
      <c r="G52" s="17"/>
      <c r="H52" s="7"/>
      <c r="I52" s="35"/>
      <c r="J52" s="26"/>
    </row>
    <row r="53" spans="1:10" s="2" customFormat="1">
      <c r="A53" s="15"/>
      <c r="B53" s="15"/>
      <c r="C53" s="15"/>
      <c r="D53" s="17"/>
      <c r="E53" s="17"/>
      <c r="F53" s="17"/>
      <c r="G53" s="17"/>
      <c r="H53" s="7"/>
      <c r="I53" s="35"/>
      <c r="J53" s="26"/>
    </row>
    <row r="54" spans="1:10" s="2" customFormat="1">
      <c r="A54" s="15"/>
      <c r="B54" s="15"/>
      <c r="C54" s="15"/>
      <c r="D54" s="17"/>
      <c r="E54" s="17"/>
      <c r="F54" s="17"/>
      <c r="G54" s="17"/>
      <c r="H54" s="7"/>
      <c r="I54" s="35"/>
      <c r="J54" s="26"/>
    </row>
    <row r="55" spans="1:10" s="2" customFormat="1">
      <c r="A55" s="15"/>
      <c r="B55" s="15"/>
      <c r="C55" s="15"/>
      <c r="D55" s="17"/>
      <c r="E55" s="17"/>
      <c r="F55" s="17"/>
      <c r="G55" s="17"/>
      <c r="H55" s="7"/>
      <c r="I55" s="35"/>
      <c r="J55" s="26"/>
    </row>
    <row r="56" spans="1:10" s="2" customFormat="1">
      <c r="A56" s="15"/>
      <c r="B56" s="15"/>
      <c r="C56" s="15"/>
      <c r="D56" s="17"/>
      <c r="E56" s="17"/>
      <c r="F56" s="17"/>
      <c r="G56" s="17"/>
      <c r="H56" s="7"/>
      <c r="I56" s="35"/>
      <c r="J56" s="26"/>
    </row>
    <row r="57" spans="1:10" s="2" customFormat="1">
      <c r="A57" s="15"/>
      <c r="B57" s="15"/>
      <c r="C57" s="15"/>
      <c r="D57" s="17"/>
      <c r="E57" s="17"/>
      <c r="F57" s="17"/>
      <c r="G57" s="17"/>
      <c r="H57" s="7"/>
      <c r="I57" s="35"/>
      <c r="J57" s="26"/>
    </row>
    <row r="58" spans="1:10" s="2" customFormat="1">
      <c r="A58" s="15"/>
      <c r="B58" s="15"/>
      <c r="C58" s="15"/>
      <c r="D58" s="17"/>
      <c r="E58" s="17"/>
      <c r="F58" s="17"/>
      <c r="G58" s="17"/>
      <c r="H58" s="7"/>
      <c r="I58" s="35"/>
      <c r="J58" s="26"/>
    </row>
    <row r="59" spans="1:10" s="2" customFormat="1">
      <c r="A59" s="15"/>
      <c r="B59" s="15"/>
      <c r="C59" s="15"/>
      <c r="D59" s="17"/>
      <c r="E59" s="17"/>
      <c r="F59" s="17"/>
      <c r="G59" s="17"/>
      <c r="H59" s="7"/>
      <c r="I59" s="35"/>
      <c r="J59" s="26"/>
    </row>
    <row r="60" spans="1:10" s="2" customFormat="1">
      <c r="A60" s="15"/>
      <c r="B60" s="15"/>
      <c r="C60" s="15"/>
      <c r="D60" s="17"/>
      <c r="E60" s="17"/>
      <c r="F60" s="17"/>
      <c r="G60" s="17"/>
      <c r="H60" s="7"/>
      <c r="I60" s="35"/>
      <c r="J60" s="26"/>
    </row>
    <row r="61" spans="1:10" s="2" customFormat="1">
      <c r="A61" s="15"/>
      <c r="B61" s="15"/>
      <c r="C61" s="15"/>
      <c r="D61" s="17"/>
      <c r="E61" s="17"/>
      <c r="F61" s="17"/>
      <c r="G61" s="17"/>
      <c r="H61" s="7"/>
      <c r="I61" s="35"/>
      <c r="J61" s="26"/>
    </row>
    <row r="62" spans="1:10" s="2" customFormat="1">
      <c r="A62" s="15"/>
      <c r="B62" s="15"/>
      <c r="C62" s="15"/>
      <c r="D62" s="17"/>
      <c r="E62" s="17"/>
      <c r="F62" s="17"/>
      <c r="G62" s="17"/>
      <c r="H62" s="7"/>
      <c r="I62" s="35"/>
      <c r="J62" s="26"/>
    </row>
    <row r="63" spans="1:10" s="2" customFormat="1">
      <c r="A63" s="15"/>
      <c r="B63" s="15"/>
      <c r="C63" s="15"/>
      <c r="D63" s="17"/>
      <c r="E63" s="17"/>
      <c r="F63" s="17"/>
      <c r="G63" s="17"/>
      <c r="H63" s="7"/>
      <c r="I63" s="35"/>
      <c r="J63" s="26"/>
    </row>
    <row r="64" spans="1:10" s="2" customFormat="1">
      <c r="A64" s="15"/>
      <c r="B64" s="15"/>
      <c r="C64" s="15"/>
      <c r="D64" s="17"/>
      <c r="E64" s="17"/>
      <c r="F64" s="17"/>
      <c r="G64" s="17"/>
      <c r="H64" s="7"/>
      <c r="I64" s="35"/>
      <c r="J64" s="26"/>
    </row>
    <row r="65" spans="1:10" s="2" customFormat="1">
      <c r="A65" s="15"/>
      <c r="B65" s="15"/>
      <c r="C65" s="15"/>
      <c r="D65" s="17"/>
      <c r="E65" s="17"/>
      <c r="F65" s="17"/>
      <c r="G65" s="17"/>
      <c r="H65" s="7"/>
      <c r="I65" s="35"/>
      <c r="J65" s="26"/>
    </row>
    <row r="66" spans="1:10" s="3" customFormat="1">
      <c r="A66" s="36"/>
      <c r="B66" s="36"/>
      <c r="C66" s="36"/>
      <c r="D66" s="37"/>
      <c r="E66" s="37"/>
      <c r="F66" s="37"/>
      <c r="G66" s="37"/>
      <c r="H66" s="38"/>
      <c r="I66" s="46"/>
      <c r="J66" s="38"/>
    </row>
    <row r="67" spans="1:10" s="3" customFormat="1">
      <c r="A67" s="36"/>
      <c r="B67" s="36"/>
      <c r="C67" s="36"/>
      <c r="D67" s="37"/>
      <c r="E67" s="37"/>
      <c r="F67" s="37"/>
      <c r="G67" s="37"/>
      <c r="H67" s="38"/>
      <c r="I67" s="46"/>
      <c r="J67" s="38"/>
    </row>
    <row r="68" spans="1:10" s="2" customFormat="1">
      <c r="A68" s="15"/>
      <c r="B68" s="15"/>
      <c r="C68" s="15"/>
      <c r="D68" s="17"/>
      <c r="E68" s="17"/>
      <c r="F68" s="17"/>
      <c r="G68" s="17"/>
      <c r="H68" s="7"/>
      <c r="I68" s="35"/>
      <c r="J68" s="26"/>
    </row>
    <row r="69" spans="1:10">
      <c r="A69" s="15"/>
      <c r="B69" s="15"/>
      <c r="C69" s="15"/>
      <c r="D69" s="17"/>
      <c r="E69" s="17"/>
      <c r="F69" s="17"/>
      <c r="G69" s="17"/>
      <c r="H69" s="7"/>
      <c r="I69" s="35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44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44"/>
      <c r="J71" s="7"/>
    </row>
    <row r="72" spans="1:10" ht="21">
      <c r="A72" s="362" t="s">
        <v>32</v>
      </c>
      <c r="B72" s="362"/>
      <c r="C72" s="362"/>
      <c r="D72" s="39">
        <f>SUM(D52:D71)</f>
        <v>0</v>
      </c>
      <c r="E72" s="39">
        <f t="shared" ref="E72:H72" si="1">SUM(E52:E71)</f>
        <v>0</v>
      </c>
      <c r="F72" s="39">
        <f t="shared" si="1"/>
        <v>0</v>
      </c>
      <c r="G72" s="39">
        <f t="shared" si="1"/>
        <v>0</v>
      </c>
      <c r="H72" s="39">
        <f t="shared" si="1"/>
        <v>0</v>
      </c>
      <c r="I72" s="47"/>
      <c r="J72" s="18"/>
    </row>
    <row r="73" spans="1:10" ht="21">
      <c r="A73" s="363" t="s">
        <v>172</v>
      </c>
      <c r="B73" s="363"/>
      <c r="C73" s="363"/>
      <c r="D73" s="39">
        <f>D49-D72</f>
        <v>0</v>
      </c>
      <c r="E73" s="39">
        <f>E49-E72</f>
        <v>0</v>
      </c>
      <c r="F73" s="39">
        <f>F49-F72</f>
        <v>0</v>
      </c>
      <c r="G73" s="39">
        <f>G49-G72</f>
        <v>0</v>
      </c>
      <c r="H73" s="39">
        <f>H49-H72</f>
        <v>0</v>
      </c>
      <c r="I73" s="21">
        <f>11838+78888</f>
        <v>90726</v>
      </c>
      <c r="J73" s="19"/>
    </row>
    <row r="75" spans="1:10" ht="21">
      <c r="A75" s="309" t="s">
        <v>180</v>
      </c>
      <c r="B75" s="309"/>
      <c r="C75" s="309"/>
      <c r="D75" s="309"/>
      <c r="E75" s="309"/>
      <c r="F75" s="309"/>
      <c r="G75" s="309"/>
      <c r="H75" s="309"/>
      <c r="I75" s="309"/>
      <c r="J75" s="309"/>
    </row>
    <row r="76" spans="1:10" ht="21">
      <c r="A76" s="318" t="s">
        <v>12</v>
      </c>
      <c r="B76" s="318"/>
      <c r="C76" s="318"/>
      <c r="D76" s="318"/>
      <c r="E76" s="318"/>
      <c r="F76" s="318"/>
      <c r="G76" s="318"/>
      <c r="H76" s="318"/>
    </row>
    <row r="77" spans="1:10">
      <c r="A77" s="9" t="s">
        <v>13</v>
      </c>
      <c r="B77" s="9" t="s">
        <v>15</v>
      </c>
      <c r="C77" s="9" t="s">
        <v>14</v>
      </c>
      <c r="D77" s="9" t="s">
        <v>16</v>
      </c>
      <c r="E77" s="9" t="s">
        <v>17</v>
      </c>
      <c r="F77" s="9" t="s">
        <v>18</v>
      </c>
      <c r="G77" s="9" t="s">
        <v>19</v>
      </c>
      <c r="H77" s="9" t="s">
        <v>20</v>
      </c>
    </row>
    <row r="78" spans="1:10">
      <c r="A78" s="40"/>
      <c r="B78" s="40"/>
      <c r="C78" s="41"/>
      <c r="D78" s="42"/>
      <c r="E78" s="7"/>
      <c r="F78" s="7"/>
      <c r="G78" s="7"/>
      <c r="H78" s="7"/>
    </row>
    <row r="79" spans="1:10">
      <c r="A79" s="7"/>
      <c r="B79" s="6"/>
      <c r="C79" s="41"/>
      <c r="D79" s="43"/>
      <c r="E79" s="44"/>
      <c r="F79" s="7"/>
      <c r="G79" s="7"/>
      <c r="H79" s="7"/>
    </row>
    <row r="80" spans="1:10">
      <c r="A80" s="7"/>
      <c r="B80" s="6"/>
      <c r="C80" s="41"/>
      <c r="D80" s="45"/>
      <c r="E80" s="7"/>
      <c r="F80" s="7"/>
      <c r="G80" s="7"/>
      <c r="H80" s="7"/>
    </row>
    <row r="81" spans="1:10">
      <c r="A81" s="7"/>
      <c r="B81" s="6"/>
      <c r="C81" s="41"/>
      <c r="D81" s="7"/>
      <c r="E81" s="7"/>
      <c r="F81" s="7"/>
      <c r="G81" s="7"/>
      <c r="H81" s="7"/>
    </row>
    <row r="82" spans="1:10">
      <c r="A82" s="7"/>
      <c r="B82" s="7"/>
      <c r="C82" s="7"/>
      <c r="D82" s="7"/>
      <c r="E82" s="7"/>
      <c r="F82" s="7">
        <f t="shared" ref="F82:F83" si="2">D82*9%</f>
        <v>0</v>
      </c>
      <c r="G82" s="7">
        <f t="shared" ref="G82:G83" si="3">F82</f>
        <v>0</v>
      </c>
      <c r="H82" s="7">
        <f t="shared" ref="H82:H83" si="4">D82+E82+F82+G82</f>
        <v>0</v>
      </c>
    </row>
    <row r="83" spans="1:10">
      <c r="A83" s="7"/>
      <c r="B83" s="7"/>
      <c r="C83" s="7"/>
      <c r="D83" s="7"/>
      <c r="E83" s="7"/>
      <c r="F83" s="7">
        <f t="shared" si="2"/>
        <v>0</v>
      </c>
      <c r="G83" s="7">
        <f t="shared" si="3"/>
        <v>0</v>
      </c>
      <c r="H83" s="7">
        <f t="shared" si="4"/>
        <v>0</v>
      </c>
    </row>
    <row r="84" spans="1:10" ht="21">
      <c r="A84" s="319" t="s">
        <v>32</v>
      </c>
      <c r="B84" s="320"/>
      <c r="C84" s="357"/>
      <c r="D84" s="8">
        <f>SUM(D78:D83)</f>
        <v>0</v>
      </c>
      <c r="E84" s="8">
        <f t="shared" ref="E84:H84" si="5">SUM(E78:E83)</f>
        <v>0</v>
      </c>
      <c r="F84" s="8">
        <f t="shared" si="5"/>
        <v>0</v>
      </c>
      <c r="G84" s="8">
        <f t="shared" si="5"/>
        <v>0</v>
      </c>
      <c r="H84" s="8">
        <f t="shared" si="5"/>
        <v>0</v>
      </c>
    </row>
    <row r="85" spans="1:10" ht="21">
      <c r="A85" s="321" t="s">
        <v>33</v>
      </c>
      <c r="B85" s="322"/>
      <c r="C85" s="322"/>
      <c r="D85" s="322"/>
      <c r="E85" s="322"/>
      <c r="F85" s="322"/>
      <c r="G85" s="322"/>
      <c r="H85" s="322"/>
      <c r="I85" s="322"/>
      <c r="J85" s="323"/>
    </row>
    <row r="86" spans="1:10">
      <c r="A86" s="9" t="s">
        <v>13</v>
      </c>
      <c r="B86" s="9" t="s">
        <v>15</v>
      </c>
      <c r="C86" s="9" t="s">
        <v>34</v>
      </c>
      <c r="D86" s="9" t="s">
        <v>16</v>
      </c>
      <c r="E86" s="9" t="s">
        <v>35</v>
      </c>
      <c r="F86" s="9" t="s">
        <v>18</v>
      </c>
      <c r="G86" s="9" t="s">
        <v>19</v>
      </c>
      <c r="H86" s="9" t="s">
        <v>20</v>
      </c>
      <c r="I86" s="9" t="s">
        <v>36</v>
      </c>
      <c r="J86" s="9" t="s">
        <v>37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21">
      <c r="A100" s="333" t="s">
        <v>32</v>
      </c>
      <c r="B100" s="334"/>
      <c r="C100" s="358"/>
      <c r="D100" s="18"/>
      <c r="E100" s="18"/>
      <c r="F100" s="18"/>
      <c r="G100" s="18"/>
      <c r="H100" s="18"/>
      <c r="I100" s="18"/>
      <c r="J100" s="18"/>
    </row>
  </sheetData>
  <mergeCells count="17">
    <mergeCell ref="A100:C100"/>
    <mergeCell ref="A41:H42"/>
    <mergeCell ref="A73:C73"/>
    <mergeCell ref="A75:J75"/>
    <mergeCell ref="A76:H76"/>
    <mergeCell ref="A84:C84"/>
    <mergeCell ref="A85:J85"/>
    <mergeCell ref="A40:C40"/>
    <mergeCell ref="A43:H43"/>
    <mergeCell ref="A49:C49"/>
    <mergeCell ref="A50:H50"/>
    <mergeCell ref="A72:C72"/>
    <mergeCell ref="A2:J2"/>
    <mergeCell ref="A3:H3"/>
    <mergeCell ref="A10:C10"/>
    <mergeCell ref="A11:J11"/>
    <mergeCell ref="A38:C38"/>
  </mergeCells>
  <pageMargins left="0.7" right="0.7" top="0.75" bottom="0.75" header="0.3" footer="0.3"/>
  <pageSetup orientation="portrait" horizontalDpi="360" verticalDpi="36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6" sqref="A6:XFD6"/>
    </sheetView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GSTINO.</vt:lpstr>
      <vt:lpstr>Apr-25 to Jun-25</vt:lpstr>
      <vt:lpstr>Jul-25 to Sept-25</vt:lpstr>
      <vt:lpstr>Oct-25 to Dec-25</vt:lpstr>
      <vt:lpstr>Debit Note</vt:lpstr>
      <vt:lpstr>Jan-26 to Mar-26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created xsi:type="dcterms:W3CDTF">2015-06-05T18:17:00Z</dcterms:created>
  <dcterms:modified xsi:type="dcterms:W3CDTF">2025-08-11T09:52:36Z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342B9ED2400A477CBAD6883765644E2F_12</vt:lpwstr>
  </property>
  <property fmtid="{D5CDD505-2E9C-101B-9397-08002B2CF9AE}" pid="3" name="KSOProductBuildVer">
    <vt:lpwstr>1033-12.2.0.21931</vt:lpwstr>
  </property>
</Properties>
</file>