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JP TECHATRONICS 2022-2023\2025-2026\GST\GSTR-2B 2024-2025\"/>
    </mc:Choice>
  </mc:AlternateContent>
  <xr:revisionPtr revIDLastSave="0" documentId="13_ncr:1_{172F8BCB-73E5-419A-842D-F33D1D51BF94}" xr6:coauthVersionLast="47" xr6:coauthVersionMax="47" xr10:uidLastSave="{00000000-0000-0000-0000-000000000000}"/>
  <bookViews>
    <workbookView xWindow="-110" yWindow="-110" windowWidth="19420" windowHeight="10420" xr2:uid="{B38112A6-CB05-4960-B640-93654DFCCAD0}"/>
  </bookViews>
  <sheets>
    <sheet name="P in April 202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1" l="1"/>
  <c r="H23" i="1"/>
  <c r="I23" i="1"/>
  <c r="J23" i="1"/>
  <c r="K23" i="1"/>
  <c r="L23" i="1"/>
  <c r="M23" i="1"/>
  <c r="F23" i="1"/>
</calcChain>
</file>

<file path=xl/sharedStrings.xml><?xml version="1.0" encoding="utf-8"?>
<sst xmlns="http://schemas.openxmlformats.org/spreadsheetml/2006/main" count="129" uniqueCount="70">
  <si>
    <t>Goods and Services Tax  - GSTR-2B</t>
  </si>
  <si>
    <t>Taxable inward supplies received from registered persons</t>
  </si>
  <si>
    <t>GSTIN of supplier</t>
  </si>
  <si>
    <t>Trade/Legal name</t>
  </si>
  <si>
    <t>Invoice Details</t>
  </si>
  <si>
    <t>Place of supply</t>
  </si>
  <si>
    <t>Supply Attract Reverse Charge</t>
  </si>
  <si>
    <t>Taxable Value (₹)</t>
  </si>
  <si>
    <t>Tax Amount</t>
  </si>
  <si>
    <t>Invoice number</t>
  </si>
  <si>
    <t>Invoice type</t>
  </si>
  <si>
    <t>Invoice Date</t>
  </si>
  <si>
    <t>Invoice Value(₹)</t>
  </si>
  <si>
    <t>Integrated Tax(₹)</t>
  </si>
  <si>
    <t>Central Tax(₹)</t>
  </si>
  <si>
    <t>State/UT Tax(₹)</t>
  </si>
  <si>
    <t>Cess(₹)</t>
  </si>
  <si>
    <t>27AIWPR7516G1ZK</t>
  </si>
  <si>
    <t>ARHAT ENTERPRISES</t>
  </si>
  <si>
    <t>AE2526027</t>
  </si>
  <si>
    <t>Regular</t>
  </si>
  <si>
    <t>25/04/2025</t>
  </si>
  <si>
    <t>Goa</t>
  </si>
  <si>
    <t>No</t>
  </si>
  <si>
    <t>AE2526029</t>
  </si>
  <si>
    <t>29/04/2025</t>
  </si>
  <si>
    <t>27AAICN6069P1ZL</t>
  </si>
  <si>
    <t>NAMRATA RUBBER PRODUCT PRIVATE LIMITED</t>
  </si>
  <si>
    <t>25-26/010</t>
  </si>
  <si>
    <t>07/04/2025</t>
  </si>
  <si>
    <t>25-26/021</t>
  </si>
  <si>
    <t>11/04/2025</t>
  </si>
  <si>
    <t>25-26/033</t>
  </si>
  <si>
    <t>17/04/2025</t>
  </si>
  <si>
    <t>25-26/044</t>
  </si>
  <si>
    <t>24/04/2025</t>
  </si>
  <si>
    <t>07AACCO1263E2ZS</t>
  </si>
  <si>
    <t>OMEGA BATH SOLUTION</t>
  </si>
  <si>
    <t>GSTN/25-26/03</t>
  </si>
  <si>
    <t>05/04/2025</t>
  </si>
  <si>
    <t>30AEAFS6324R1ZT</t>
  </si>
  <si>
    <t>SHREE LAXMI LIGHTING HUB</t>
  </si>
  <si>
    <t>SLH/15</t>
  </si>
  <si>
    <t>03/04/2025</t>
  </si>
  <si>
    <t>SLH/169</t>
  </si>
  <si>
    <t>30AAACL1745Q2ZG</t>
  </si>
  <si>
    <t>LG ELECTRONICS INDIA LIMITED</t>
  </si>
  <si>
    <t>INVHBLAV72500280</t>
  </si>
  <si>
    <t>24AACCC4813C1ZB</t>
  </si>
  <si>
    <t>COLLECTIVE TRADE LINKS PVT.LTD</t>
  </si>
  <si>
    <t>I-C-1-25-470460</t>
  </si>
  <si>
    <t>30AEGPJ8013C1Z8</t>
  </si>
  <si>
    <t>MICROCITI - TRADING</t>
  </si>
  <si>
    <t>PAN917/25-26</t>
  </si>
  <si>
    <t>22/04/2025</t>
  </si>
  <si>
    <t>18AAJCD4178J1Z7</t>
  </si>
  <si>
    <t>DIGIMRO DISTRIBUTION (INDIA) PRIVATE LIMITED</t>
  </si>
  <si>
    <t>I25-260190000018</t>
  </si>
  <si>
    <t>10/04/2025</t>
  </si>
  <si>
    <t>07ADGPJ0915Q1ZB</t>
  </si>
  <si>
    <t>VANTAGE RUBBER CO.</t>
  </si>
  <si>
    <t>VRC/2025-26/7</t>
  </si>
  <si>
    <t>02/04/2025</t>
  </si>
  <si>
    <t>30AAJAT2230M1ZM</t>
  </si>
  <si>
    <t>THE GERA IMPERIUM GRAND PREMISES HOLDERS MAINTENANCE COOP SOCIETY LIMITED</t>
  </si>
  <si>
    <t>GIGSL/202526/125</t>
  </si>
  <si>
    <t>01/04/2025</t>
  </si>
  <si>
    <t>24AAACV1559Q1ZW</t>
  </si>
  <si>
    <t>V TRANS, V XPRESS &amp; V LOGIS</t>
  </si>
  <si>
    <t>242410277522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</si>
</sst>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2"/>
      <color rgb="FFFFFFFF"/>
      <name val="Arial"/>
    </font>
    <font>
      <b/>
      <sz val="11"/>
      <color rgb="FF000000"/>
      <name val="Arial"/>
    </font>
    <font>
      <b/>
      <sz val="9"/>
      <color rgb="FFFFFFFF"/>
      <name val="Arial"/>
    </font>
    <font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203764"/>
      </patternFill>
    </fill>
    <fill>
      <patternFill patternType="solid">
        <fgColor rgb="FFFFF2CC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5" fillId="0" borderId="0" xfId="0" applyFont="1" applyAlignment="1">
      <alignment horizontal="left"/>
    </xf>
    <xf numFmtId="2" fontId="5" fillId="0" borderId="0" xfId="0" applyNumberFormat="1" applyFont="1" applyAlignment="1">
      <alignment horizontal="right"/>
    </xf>
    <xf numFmtId="0" fontId="5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top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2" fontId="1" fillId="4" borderId="2" xfId="0" applyNumberFormat="1" applyFont="1" applyFill="1" applyBorder="1"/>
    <xf numFmtId="2" fontId="1" fillId="4" borderId="3" xfId="0" applyNumberFormat="1" applyFont="1" applyFill="1" applyBorder="1"/>
    <xf numFmtId="2" fontId="1" fillId="4" borderId="4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D30B7-5C2C-49D4-9A40-677C04FD4D21}">
  <dimension ref="A1:M23"/>
  <sheetViews>
    <sheetView tabSelected="1" topLeftCell="C5" workbookViewId="0">
      <selection activeCell="I7" sqref="I7:L22"/>
    </sheetView>
  </sheetViews>
  <sheetFormatPr defaultRowHeight="14.5"/>
  <cols>
    <col min="1" max="1" width="17" customWidth="1"/>
    <col min="2" max="2" width="45.7265625" customWidth="1"/>
    <col min="3" max="3" width="17.36328125" bestFit="1" customWidth="1"/>
    <col min="4" max="4" width="9" customWidth="1"/>
    <col min="5" max="5" width="10.7265625" bestFit="1" customWidth="1"/>
    <col min="6" max="6" width="13.7265625" bestFit="1" customWidth="1"/>
    <col min="9" max="9" width="14.6328125" bestFit="1" customWidth="1"/>
    <col min="10" max="10" width="14.36328125" bestFit="1" customWidth="1"/>
    <col min="11" max="11" width="11.90625" bestFit="1" customWidth="1"/>
    <col min="12" max="12" width="13" bestFit="1" customWidth="1"/>
    <col min="13" max="13" width="6.81640625" bestFit="1" customWidth="1"/>
  </cols>
  <sheetData>
    <row r="1" spans="1:13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2" spans="1:13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spans="1:1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</row>
    <row r="4" spans="1:13">
      <c r="A4" s="5" t="s">
        <v>1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5" spans="1:13">
      <c r="A5" s="6" t="s">
        <v>2</v>
      </c>
      <c r="B5" s="6" t="s">
        <v>3</v>
      </c>
      <c r="C5" s="6" t="s">
        <v>4</v>
      </c>
      <c r="D5" s="6"/>
      <c r="E5" s="6"/>
      <c r="F5" s="6"/>
      <c r="G5" s="6" t="s">
        <v>5</v>
      </c>
      <c r="H5" s="6" t="s">
        <v>6</v>
      </c>
      <c r="I5" s="6" t="s">
        <v>7</v>
      </c>
      <c r="J5" s="6" t="s">
        <v>8</v>
      </c>
      <c r="K5" s="6"/>
      <c r="L5" s="6"/>
      <c r="M5" s="6"/>
    </row>
    <row r="6" spans="1:13">
      <c r="A6" s="6"/>
      <c r="B6" s="6"/>
      <c r="C6" s="7" t="s">
        <v>9</v>
      </c>
      <c r="D6" s="7" t="s">
        <v>10</v>
      </c>
      <c r="E6" s="7" t="s">
        <v>11</v>
      </c>
      <c r="F6" s="7" t="s">
        <v>12</v>
      </c>
      <c r="G6" s="6"/>
      <c r="H6" s="6"/>
      <c r="I6" s="6"/>
      <c r="J6" s="7" t="s">
        <v>13</v>
      </c>
      <c r="K6" s="7" t="s">
        <v>14</v>
      </c>
      <c r="L6" s="7" t="s">
        <v>15</v>
      </c>
      <c r="M6" s="7" t="s">
        <v>16</v>
      </c>
    </row>
    <row r="7" spans="1:13">
      <c r="A7" s="1" t="s">
        <v>17</v>
      </c>
      <c r="B7" s="1" t="s">
        <v>18</v>
      </c>
      <c r="C7" s="1" t="s">
        <v>19</v>
      </c>
      <c r="D7" s="1" t="s">
        <v>20</v>
      </c>
      <c r="E7" s="1" t="s">
        <v>21</v>
      </c>
      <c r="F7" s="2">
        <v>2767520</v>
      </c>
      <c r="G7" s="1" t="s">
        <v>22</v>
      </c>
      <c r="H7" s="3" t="s">
        <v>23</v>
      </c>
      <c r="I7" s="2">
        <v>2345356</v>
      </c>
      <c r="J7" s="2">
        <v>422164.08</v>
      </c>
      <c r="K7" s="2">
        <v>0</v>
      </c>
      <c r="L7" s="2">
        <v>0</v>
      </c>
      <c r="M7" s="2">
        <v>0</v>
      </c>
    </row>
    <row r="8" spans="1:13">
      <c r="A8" s="1" t="s">
        <v>17</v>
      </c>
      <c r="B8" s="1" t="s">
        <v>18</v>
      </c>
      <c r="C8" s="1" t="s">
        <v>24</v>
      </c>
      <c r="D8" s="1" t="s">
        <v>20</v>
      </c>
      <c r="E8" s="1" t="s">
        <v>25</v>
      </c>
      <c r="F8" s="2">
        <v>468931</v>
      </c>
      <c r="G8" s="1" t="s">
        <v>22</v>
      </c>
      <c r="H8" s="3" t="s">
        <v>23</v>
      </c>
      <c r="I8" s="2">
        <v>397399</v>
      </c>
      <c r="J8" s="2">
        <v>71531.820000000007</v>
      </c>
      <c r="K8" s="2">
        <v>0</v>
      </c>
      <c r="L8" s="2">
        <v>0</v>
      </c>
      <c r="M8" s="2">
        <v>0</v>
      </c>
    </row>
    <row r="9" spans="1:13">
      <c r="A9" s="1" t="s">
        <v>26</v>
      </c>
      <c r="B9" s="1" t="s">
        <v>27</v>
      </c>
      <c r="C9" s="1" t="s">
        <v>28</v>
      </c>
      <c r="D9" s="1" t="s">
        <v>20</v>
      </c>
      <c r="E9" s="1" t="s">
        <v>29</v>
      </c>
      <c r="F9" s="2">
        <v>125847</v>
      </c>
      <c r="G9" s="1" t="s">
        <v>22</v>
      </c>
      <c r="H9" s="3" t="s">
        <v>23</v>
      </c>
      <c r="I9" s="2">
        <v>106650</v>
      </c>
      <c r="J9" s="2">
        <v>19197</v>
      </c>
      <c r="K9" s="2">
        <v>0</v>
      </c>
      <c r="L9" s="2">
        <v>0</v>
      </c>
      <c r="M9" s="2">
        <v>0</v>
      </c>
    </row>
    <row r="10" spans="1:13">
      <c r="A10" s="1" t="s">
        <v>26</v>
      </c>
      <c r="B10" s="1" t="s">
        <v>27</v>
      </c>
      <c r="C10" s="1" t="s">
        <v>30</v>
      </c>
      <c r="D10" s="1" t="s">
        <v>20</v>
      </c>
      <c r="E10" s="1" t="s">
        <v>31</v>
      </c>
      <c r="F10" s="2">
        <v>56640</v>
      </c>
      <c r="G10" s="1" t="s">
        <v>22</v>
      </c>
      <c r="H10" s="3" t="s">
        <v>23</v>
      </c>
      <c r="I10" s="2">
        <v>48000</v>
      </c>
      <c r="J10" s="2">
        <v>8640</v>
      </c>
      <c r="K10" s="2">
        <v>0</v>
      </c>
      <c r="L10" s="2">
        <v>0</v>
      </c>
      <c r="M10" s="2">
        <v>0</v>
      </c>
    </row>
    <row r="11" spans="1:13">
      <c r="A11" s="1" t="s">
        <v>26</v>
      </c>
      <c r="B11" s="1" t="s">
        <v>27</v>
      </c>
      <c r="C11" s="1" t="s">
        <v>32</v>
      </c>
      <c r="D11" s="1" t="s">
        <v>20</v>
      </c>
      <c r="E11" s="1" t="s">
        <v>33</v>
      </c>
      <c r="F11" s="2">
        <v>43896</v>
      </c>
      <c r="G11" s="1" t="s">
        <v>22</v>
      </c>
      <c r="H11" s="3" t="s">
        <v>23</v>
      </c>
      <c r="I11" s="2">
        <v>37200</v>
      </c>
      <c r="J11" s="2">
        <v>6696</v>
      </c>
      <c r="K11" s="2">
        <v>0</v>
      </c>
      <c r="L11" s="2">
        <v>0</v>
      </c>
      <c r="M11" s="2">
        <v>0</v>
      </c>
    </row>
    <row r="12" spans="1:13">
      <c r="A12" s="1" t="s">
        <v>26</v>
      </c>
      <c r="B12" s="1" t="s">
        <v>27</v>
      </c>
      <c r="C12" s="1" t="s">
        <v>34</v>
      </c>
      <c r="D12" s="1" t="s">
        <v>20</v>
      </c>
      <c r="E12" s="1" t="s">
        <v>35</v>
      </c>
      <c r="F12" s="2">
        <v>39672</v>
      </c>
      <c r="G12" s="1" t="s">
        <v>22</v>
      </c>
      <c r="H12" s="3" t="s">
        <v>23</v>
      </c>
      <c r="I12" s="2">
        <v>33620</v>
      </c>
      <c r="J12" s="2">
        <v>6051.6</v>
      </c>
      <c r="K12" s="2">
        <v>0</v>
      </c>
      <c r="L12" s="2">
        <v>0</v>
      </c>
      <c r="M12" s="2">
        <v>0</v>
      </c>
    </row>
    <row r="13" spans="1:13">
      <c r="A13" s="1" t="s">
        <v>36</v>
      </c>
      <c r="B13" s="1" t="s">
        <v>37</v>
      </c>
      <c r="C13" s="1" t="s">
        <v>38</v>
      </c>
      <c r="D13" s="1" t="s">
        <v>20</v>
      </c>
      <c r="E13" s="1" t="s">
        <v>39</v>
      </c>
      <c r="F13" s="2">
        <v>23600</v>
      </c>
      <c r="G13" s="1" t="s">
        <v>22</v>
      </c>
      <c r="H13" s="3" t="s">
        <v>23</v>
      </c>
      <c r="I13" s="2">
        <v>20000</v>
      </c>
      <c r="J13" s="2">
        <v>3600</v>
      </c>
      <c r="K13" s="2">
        <v>0</v>
      </c>
      <c r="L13" s="2">
        <v>0</v>
      </c>
      <c r="M13" s="2">
        <v>0</v>
      </c>
    </row>
    <row r="14" spans="1:13">
      <c r="A14" s="1" t="s">
        <v>40</v>
      </c>
      <c r="B14" s="1" t="s">
        <v>41</v>
      </c>
      <c r="C14" s="1" t="s">
        <v>42</v>
      </c>
      <c r="D14" s="1" t="s">
        <v>20</v>
      </c>
      <c r="E14" s="1" t="s">
        <v>43</v>
      </c>
      <c r="F14" s="2">
        <v>993</v>
      </c>
      <c r="G14" s="1" t="s">
        <v>22</v>
      </c>
      <c r="H14" s="3" t="s">
        <v>23</v>
      </c>
      <c r="I14" s="2">
        <v>841.5</v>
      </c>
      <c r="J14" s="2">
        <v>0</v>
      </c>
      <c r="K14" s="2">
        <v>75.73</v>
      </c>
      <c r="L14" s="2">
        <v>75.73</v>
      </c>
      <c r="M14" s="2">
        <v>0</v>
      </c>
    </row>
    <row r="15" spans="1:13">
      <c r="A15" s="1" t="s">
        <v>40</v>
      </c>
      <c r="B15" s="1" t="s">
        <v>41</v>
      </c>
      <c r="C15" s="1" t="s">
        <v>44</v>
      </c>
      <c r="D15" s="1" t="s">
        <v>20</v>
      </c>
      <c r="E15" s="1" t="s">
        <v>33</v>
      </c>
      <c r="F15" s="2">
        <v>600</v>
      </c>
      <c r="G15" s="1" t="s">
        <v>22</v>
      </c>
      <c r="H15" s="3" t="s">
        <v>23</v>
      </c>
      <c r="I15" s="2">
        <v>508.48</v>
      </c>
      <c r="J15" s="2">
        <v>0</v>
      </c>
      <c r="K15" s="2">
        <v>45.77</v>
      </c>
      <c r="L15" s="2">
        <v>45.77</v>
      </c>
      <c r="M15" s="2">
        <v>0</v>
      </c>
    </row>
    <row r="16" spans="1:13">
      <c r="A16" s="1" t="s">
        <v>45</v>
      </c>
      <c r="B16" s="1" t="s">
        <v>46</v>
      </c>
      <c r="C16" s="1" t="s">
        <v>47</v>
      </c>
      <c r="D16" s="1" t="s">
        <v>20</v>
      </c>
      <c r="E16" s="1" t="s">
        <v>25</v>
      </c>
      <c r="F16" s="2">
        <v>1447.52</v>
      </c>
      <c r="G16" s="1" t="s">
        <v>22</v>
      </c>
      <c r="H16" s="3" t="s">
        <v>23</v>
      </c>
      <c r="I16" s="2">
        <v>1226.72</v>
      </c>
      <c r="J16" s="2">
        <v>0</v>
      </c>
      <c r="K16" s="2">
        <v>110.4</v>
      </c>
      <c r="L16" s="2">
        <v>110.4</v>
      </c>
      <c r="M16" s="2">
        <v>0</v>
      </c>
    </row>
    <row r="17" spans="1:13">
      <c r="A17" s="1" t="s">
        <v>48</v>
      </c>
      <c r="B17" s="1" t="s">
        <v>49</v>
      </c>
      <c r="C17" s="1" t="s">
        <v>50</v>
      </c>
      <c r="D17" s="1" t="s">
        <v>20</v>
      </c>
      <c r="E17" s="1" t="s">
        <v>35</v>
      </c>
      <c r="F17" s="2">
        <v>196706</v>
      </c>
      <c r="G17" s="1" t="s">
        <v>22</v>
      </c>
      <c r="H17" s="3" t="s">
        <v>23</v>
      </c>
      <c r="I17" s="2">
        <v>166700</v>
      </c>
      <c r="J17" s="2">
        <v>30006</v>
      </c>
      <c r="K17" s="2">
        <v>0</v>
      </c>
      <c r="L17" s="2">
        <v>0</v>
      </c>
      <c r="M17" s="2">
        <v>0</v>
      </c>
    </row>
    <row r="18" spans="1:13">
      <c r="A18" s="1" t="s">
        <v>51</v>
      </c>
      <c r="B18" s="1" t="s">
        <v>52</v>
      </c>
      <c r="C18" s="1" t="s">
        <v>53</v>
      </c>
      <c r="D18" s="1" t="s">
        <v>20</v>
      </c>
      <c r="E18" s="1" t="s">
        <v>54</v>
      </c>
      <c r="F18" s="2">
        <v>3835</v>
      </c>
      <c r="G18" s="1" t="s">
        <v>22</v>
      </c>
      <c r="H18" s="3" t="s">
        <v>23</v>
      </c>
      <c r="I18" s="2">
        <v>3250</v>
      </c>
      <c r="J18" s="2">
        <v>0</v>
      </c>
      <c r="K18" s="2">
        <v>292.5</v>
      </c>
      <c r="L18" s="2">
        <v>292.5</v>
      </c>
      <c r="M18" s="2">
        <v>0</v>
      </c>
    </row>
    <row r="19" spans="1:13">
      <c r="A19" s="1" t="s">
        <v>55</v>
      </c>
      <c r="B19" s="1" t="s">
        <v>56</v>
      </c>
      <c r="C19" s="1" t="s">
        <v>57</v>
      </c>
      <c r="D19" s="1" t="s">
        <v>20</v>
      </c>
      <c r="E19" s="1" t="s">
        <v>58</v>
      </c>
      <c r="F19" s="2">
        <v>3894</v>
      </c>
      <c r="G19" s="1" t="s">
        <v>22</v>
      </c>
      <c r="H19" s="3" t="s">
        <v>23</v>
      </c>
      <c r="I19" s="2">
        <v>3300</v>
      </c>
      <c r="J19" s="2">
        <v>594</v>
      </c>
      <c r="K19" s="2">
        <v>0</v>
      </c>
      <c r="L19" s="2">
        <v>0</v>
      </c>
      <c r="M19" s="2">
        <v>0</v>
      </c>
    </row>
    <row r="20" spans="1:13">
      <c r="A20" s="1" t="s">
        <v>59</v>
      </c>
      <c r="B20" s="1" t="s">
        <v>60</v>
      </c>
      <c r="C20" s="1" t="s">
        <v>61</v>
      </c>
      <c r="D20" s="1" t="s">
        <v>20</v>
      </c>
      <c r="E20" s="1" t="s">
        <v>62</v>
      </c>
      <c r="F20" s="2">
        <v>27824</v>
      </c>
      <c r="G20" s="1" t="s">
        <v>22</v>
      </c>
      <c r="H20" s="3" t="s">
        <v>23</v>
      </c>
      <c r="I20" s="2">
        <v>23580</v>
      </c>
      <c r="J20" s="2">
        <v>4244.3999999999996</v>
      </c>
      <c r="K20" s="2">
        <v>0</v>
      </c>
      <c r="L20" s="2">
        <v>0</v>
      </c>
      <c r="M20" s="2">
        <v>0</v>
      </c>
    </row>
    <row r="21" spans="1:13">
      <c r="A21" s="1" t="s">
        <v>63</v>
      </c>
      <c r="B21" s="1" t="s">
        <v>64</v>
      </c>
      <c r="C21" s="1" t="s">
        <v>65</v>
      </c>
      <c r="D21" s="1" t="s">
        <v>20</v>
      </c>
      <c r="E21" s="1" t="s">
        <v>66</v>
      </c>
      <c r="F21" s="2">
        <v>55269</v>
      </c>
      <c r="G21" s="1" t="s">
        <v>22</v>
      </c>
      <c r="H21" s="3" t="s">
        <v>23</v>
      </c>
      <c r="I21" s="2">
        <v>46838</v>
      </c>
      <c r="J21" s="2">
        <v>0</v>
      </c>
      <c r="K21" s="2">
        <v>4215.42</v>
      </c>
      <c r="L21" s="2">
        <v>4215.42</v>
      </c>
      <c r="M21" s="2">
        <v>0</v>
      </c>
    </row>
    <row r="22" spans="1:13" ht="15" thickBot="1">
      <c r="A22" s="1" t="s">
        <v>67</v>
      </c>
      <c r="B22" s="1" t="s">
        <v>68</v>
      </c>
      <c r="C22" s="1" t="s">
        <v>69</v>
      </c>
      <c r="D22" s="1" t="s">
        <v>20</v>
      </c>
      <c r="E22" s="1" t="s">
        <v>62</v>
      </c>
      <c r="F22" s="2">
        <v>1044.6600000000001</v>
      </c>
      <c r="G22" s="1" t="s">
        <v>22</v>
      </c>
      <c r="H22" s="3" t="s">
        <v>23</v>
      </c>
      <c r="I22" s="2">
        <v>932.73</v>
      </c>
      <c r="J22" s="2">
        <v>111.93</v>
      </c>
      <c r="K22" s="2">
        <v>0</v>
      </c>
      <c r="L22" s="2">
        <v>0</v>
      </c>
      <c r="M22" s="2">
        <v>0</v>
      </c>
    </row>
    <row r="23" spans="1:13" ht="15" thickBot="1">
      <c r="F23" s="8">
        <f>SUM(F7:F22)</f>
        <v>3817719.18</v>
      </c>
      <c r="G23" s="9">
        <f t="shared" ref="G23:M23" si="0">SUM(G7:G22)</f>
        <v>0</v>
      </c>
      <c r="H23" s="9">
        <f t="shared" si="0"/>
        <v>0</v>
      </c>
      <c r="I23" s="9">
        <f t="shared" si="0"/>
        <v>3235402.43</v>
      </c>
      <c r="J23" s="9">
        <f t="shared" si="0"/>
        <v>572836.83000000007</v>
      </c>
      <c r="K23" s="9">
        <f t="shared" si="0"/>
        <v>4739.82</v>
      </c>
      <c r="L23" s="9">
        <f t="shared" si="0"/>
        <v>4739.82</v>
      </c>
      <c r="M23" s="10">
        <f t="shared" si="0"/>
        <v>0</v>
      </c>
    </row>
  </sheetData>
  <mergeCells count="9">
    <mergeCell ref="A1:M3"/>
    <mergeCell ref="A4:M4"/>
    <mergeCell ref="C5:F5"/>
    <mergeCell ref="J5:M5"/>
    <mergeCell ref="A5:A6"/>
    <mergeCell ref="B5:B6"/>
    <mergeCell ref="G5:G6"/>
    <mergeCell ref="H5:H6"/>
    <mergeCell ref="I5:I6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 in April 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ACCOUNTS</dc:creator>
  <cp:lastModifiedBy>ACCOUNTS</cp:lastModifiedBy>
  <dcterms:created xsi:type="dcterms:W3CDTF">2025-05-17T05:03:14Z</dcterms:created>
  <dcterms:modified xsi:type="dcterms:W3CDTF">2025-05-17T06:58:39Z</dcterms:modified>
</cp:coreProperties>
</file>