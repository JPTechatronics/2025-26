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Purchase Invoice\"/>
    </mc:Choice>
  </mc:AlternateContent>
  <xr:revisionPtr revIDLastSave="0" documentId="13_ncr:1_{7EA5462D-DC45-4F8C-87F6-CA116CE97C50}" xr6:coauthVersionLast="47" xr6:coauthVersionMax="47" xr10:uidLastSave="{00000000-0000-0000-0000-000000000000}"/>
  <bookViews>
    <workbookView xWindow="-110" yWindow="-110" windowWidth="19420" windowHeight="10420" xr2:uid="{BDC6977A-266E-422B-A860-BE4B196BB409}"/>
  </bookViews>
  <sheets>
    <sheet name="Khorlim Praneel P40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 s="1"/>
  <c r="E12" i="1" l="1"/>
  <c r="E13" i="1" s="1"/>
</calcChain>
</file>

<file path=xl/sharedStrings.xml><?xml version="1.0" encoding="utf-8"?>
<sst xmlns="http://schemas.openxmlformats.org/spreadsheetml/2006/main" count="19" uniqueCount="19">
  <si>
    <t>CGST 9%</t>
  </si>
  <si>
    <t>SGST 9%</t>
  </si>
  <si>
    <t>Grand Total</t>
  </si>
  <si>
    <t>CCTV</t>
  </si>
  <si>
    <t>SR NO</t>
  </si>
  <si>
    <t>ITEM DESCRIPTION</t>
  </si>
  <si>
    <t>QTY</t>
  </si>
  <si>
    <t>PRICE</t>
  </si>
  <si>
    <t>AMOUNT</t>
  </si>
  <si>
    <t>Honeywell 2MP IP Bullet/DOME Camera Pro 30 Series</t>
  </si>
  <si>
    <t>Honeywell 16 CH NVR Professional 30 Series with build-in POE Switch</t>
  </si>
  <si>
    <t>WD Purple Surveillance Hard Disk 2 TB</t>
  </si>
  <si>
    <t>RJ 45 Connector With Crimping etc. complete</t>
  </si>
  <si>
    <t>Enclosure with mounting</t>
  </si>
  <si>
    <t>INSTALLATION TESTING COMMISSIONING</t>
  </si>
  <si>
    <t>TOTAL</t>
  </si>
  <si>
    <t>Date: 11/1/2025</t>
  </si>
  <si>
    <t>Purchase Invoice No.</t>
  </si>
  <si>
    <t>Khorlim Praneel P401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</si>
</sst>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/>
    <xf numFmtId="0" fontId="4" fillId="0" borderId="1" xfId="0" applyFont="1" applyBorder="1" applyAlignment="1">
      <alignment horizontal="center" vertical="center"/>
    </xf>
    <xf numFmtId="43" fontId="3" fillId="0" borderId="10" xfId="1" applyFont="1" applyBorder="1" applyAlignment="1">
      <alignment vertical="top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3" fontId="3" fillId="0" borderId="12" xfId="1" applyFont="1" applyBorder="1" applyAlignment="1">
      <alignment vertical="top"/>
    </xf>
    <xf numFmtId="43" fontId="3" fillId="0" borderId="3" xfId="1" applyFont="1" applyBorder="1" applyAlignment="1">
      <alignment vertical="top"/>
    </xf>
    <xf numFmtId="0" fontId="5" fillId="0" borderId="10" xfId="0" applyFont="1" applyBorder="1" applyAlignment="1">
      <alignment horizontal="center" vertical="center"/>
    </xf>
    <xf numFmtId="14" fontId="2" fillId="0" borderId="1" xfId="0" applyNumberFormat="1" applyFont="1" applyBorder="1" applyAlignment="1"/>
    <xf numFmtId="0" fontId="2" fillId="0" borderId="2" xfId="0" applyFont="1" applyBorder="1" applyAlignment="1"/>
    <xf numFmtId="0" fontId="2" fillId="0" borderId="15" xfId="0" applyFont="1" applyBorder="1" applyAlignment="1"/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6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4D91-A8FA-4379-964D-45DBA1143A6E}">
  <dimension ref="A1:F14"/>
  <sheetViews>
    <sheetView tabSelected="1" workbookViewId="0">
      <selection activeCell="E11" sqref="E11:E12"/>
    </sheetView>
  </sheetViews>
  <sheetFormatPr defaultRowHeight="14.5" x14ac:dyDescent="0.35"/>
  <cols>
    <col min="1" max="1" width="23.1796875" bestFit="1" customWidth="1"/>
    <col min="2" max="2" width="45.90625" bestFit="1" customWidth="1"/>
    <col min="4" max="4" width="39" bestFit="1" customWidth="1"/>
    <col min="5" max="5" width="9.1796875" bestFit="1" customWidth="1"/>
    <col min="7" max="7" width="10.08984375" bestFit="1" customWidth="1"/>
  </cols>
  <sheetData>
    <row r="1" spans="1:6" ht="19" customHeight="1" thickBot="1" x14ac:dyDescent="0.5">
      <c r="A1" s="20" t="s">
        <v>17</v>
      </c>
      <c r="B1" s="14" t="s">
        <v>18</v>
      </c>
      <c r="C1" s="30"/>
      <c r="D1" s="18" t="s">
        <v>16</v>
      </c>
      <c r="E1" s="19"/>
    </row>
    <row r="2" spans="1:6" ht="15" thickBot="1" x14ac:dyDescent="0.4">
      <c r="A2" s="1" t="s">
        <v>3</v>
      </c>
    </row>
    <row r="3" spans="1:6" ht="15" thickBot="1" x14ac:dyDescent="0.4">
      <c r="A3" s="2" t="s">
        <v>4</v>
      </c>
      <c r="B3" s="3" t="s">
        <v>5</v>
      </c>
      <c r="C3" s="3" t="s">
        <v>6</v>
      </c>
      <c r="D3" s="10" t="s">
        <v>7</v>
      </c>
      <c r="E3" s="2" t="s">
        <v>8</v>
      </c>
    </row>
    <row r="4" spans="1:6" ht="15" thickBot="1" x14ac:dyDescent="0.4">
      <c r="A4" s="4">
        <v>1</v>
      </c>
      <c r="B4" s="5" t="s">
        <v>9</v>
      </c>
      <c r="C4" s="5">
        <v>10</v>
      </c>
      <c r="D4" s="7">
        <v>4200</v>
      </c>
      <c r="E4" s="17">
        <v>42000</v>
      </c>
    </row>
    <row r="5" spans="1:6" ht="29.5" thickBot="1" x14ac:dyDescent="0.4">
      <c r="A5" s="4">
        <v>2</v>
      </c>
      <c r="B5" s="6" t="s">
        <v>10</v>
      </c>
      <c r="C5" s="5">
        <v>1</v>
      </c>
      <c r="D5" s="7">
        <v>19600</v>
      </c>
      <c r="E5" s="12">
        <v>19600</v>
      </c>
    </row>
    <row r="6" spans="1:6" ht="15" thickBot="1" x14ac:dyDescent="0.4">
      <c r="A6" s="4">
        <v>3</v>
      </c>
      <c r="B6" s="5" t="s">
        <v>11</v>
      </c>
      <c r="C6" s="5">
        <v>1</v>
      </c>
      <c r="D6" s="7">
        <v>5200</v>
      </c>
      <c r="E6" s="12">
        <v>5200</v>
      </c>
    </row>
    <row r="7" spans="1:6" ht="15" thickBot="1" x14ac:dyDescent="0.4">
      <c r="A7" s="4">
        <v>4</v>
      </c>
      <c r="B7" s="5" t="s">
        <v>12</v>
      </c>
      <c r="C7" s="5">
        <v>24</v>
      </c>
      <c r="D7" s="7">
        <v>150</v>
      </c>
      <c r="E7" s="12">
        <v>3600</v>
      </c>
    </row>
    <row r="8" spans="1:6" ht="15" thickBot="1" x14ac:dyDescent="0.4">
      <c r="A8" s="4">
        <v>5</v>
      </c>
      <c r="B8" s="5" t="s">
        <v>13</v>
      </c>
      <c r="C8" s="5">
        <v>10</v>
      </c>
      <c r="D8" s="7">
        <v>100</v>
      </c>
      <c r="E8" s="12">
        <v>1000</v>
      </c>
    </row>
    <row r="9" spans="1:6" ht="15" thickBot="1" x14ac:dyDescent="0.4">
      <c r="A9" s="4">
        <v>6</v>
      </c>
      <c r="B9" s="5" t="s">
        <v>14</v>
      </c>
      <c r="C9" s="5">
        <v>1</v>
      </c>
      <c r="D9" s="7">
        <v>5000</v>
      </c>
      <c r="E9" s="13">
        <v>5000</v>
      </c>
      <c r="F9" s="8"/>
    </row>
    <row r="10" spans="1:6" ht="15" thickBot="1" x14ac:dyDescent="0.4">
      <c r="A10" s="21" t="s">
        <v>15</v>
      </c>
      <c r="B10" s="22"/>
      <c r="C10" s="22"/>
      <c r="D10" s="22"/>
      <c r="E10" s="2">
        <f>SUM(E4:E9)</f>
        <v>76400</v>
      </c>
      <c r="F10" s="8"/>
    </row>
    <row r="11" spans="1:6" x14ac:dyDescent="0.35">
      <c r="A11" s="23" t="s">
        <v>0</v>
      </c>
      <c r="B11" s="24"/>
      <c r="C11" s="24"/>
      <c r="D11" s="24"/>
      <c r="E11" s="11">
        <f>E10*9%</f>
        <v>6876</v>
      </c>
      <c r="F11" s="9"/>
    </row>
    <row r="12" spans="1:6" ht="15" thickBot="1" x14ac:dyDescent="0.4">
      <c r="A12" s="25" t="s">
        <v>1</v>
      </c>
      <c r="B12" s="26"/>
      <c r="C12" s="26"/>
      <c r="D12" s="26"/>
      <c r="E12" s="15">
        <f>E11</f>
        <v>6876</v>
      </c>
      <c r="F12" s="9"/>
    </row>
    <row r="13" spans="1:6" ht="15" thickBot="1" x14ac:dyDescent="0.4">
      <c r="A13" s="27" t="s">
        <v>2</v>
      </c>
      <c r="B13" s="28"/>
      <c r="C13" s="28"/>
      <c r="D13" s="29"/>
      <c r="E13" s="16">
        <f>SUM(E10:E12)</f>
        <v>90152</v>
      </c>
      <c r="F13" s="9"/>
    </row>
    <row r="14" spans="1:6" x14ac:dyDescent="0.35">
      <c r="F14" s="8"/>
    </row>
  </sheetData>
  <mergeCells count="4">
    <mergeCell ref="A10:D10"/>
    <mergeCell ref="A11:D11"/>
    <mergeCell ref="A12:D12"/>
    <mergeCell ref="A13:D1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5FD-6690-4707-AB7E-47D17F154E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Khorlim Praneel P401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2025-01-11T08:36:48Z</dcterms:created>
  <dcterms:modified xsi:type="dcterms:W3CDTF">2025-01-14T09:14:48Z</dcterms:modified>
</cp:coreProperties>
</file>