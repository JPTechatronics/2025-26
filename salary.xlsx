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PTOP1\Desktop\2025-2026\"/>
    </mc:Choice>
  </mc:AlternateContent>
  <xr:revisionPtr revIDLastSave="0" documentId="13_ncr:1_{164D3ADD-8CCC-4A34-A9A6-89EC04DFD2F0}" xr6:coauthVersionLast="47" xr6:coauthVersionMax="47" xr10:uidLastSave="{00000000-0000-0000-0000-000000000000}"/>
  <bookViews>
    <workbookView xWindow="-120" yWindow="-120" windowWidth="20730" windowHeight="11160" activeTab="3" xr2:uid="{5EE878F3-51B3-4058-AE20-4F60E9981B6C}"/>
  </bookViews>
  <sheets>
    <sheet name="Salary Payments" sheetId="4" r:id="rId1"/>
    <sheet name="Nutan" sheetId="2" r:id="rId2"/>
    <sheet name="nj2" sheetId="8" r:id="rId3"/>
    <sheet name="Pritika" sheetId="11" r:id="rId4"/>
    <sheet name="Driver" sheetId="7" r:id="rId5"/>
    <sheet name=" Fuel Charges" sheetId="5" r:id="rId6"/>
    <sheet name="Dabojit expenses" sheetId="9" r:id="rId7"/>
    <sheet name="Sweep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F5" i="7"/>
  <c r="G5" i="7"/>
  <c r="I5" i="7"/>
  <c r="F5" i="11"/>
  <c r="C5" i="11"/>
  <c r="C4" i="11"/>
  <c r="F4" i="11"/>
  <c r="H4" i="11"/>
  <c r="C7" i="2"/>
  <c r="F7" i="2"/>
  <c r="H7" i="2" s="1"/>
  <c r="E19" i="9"/>
  <c r="C4" i="7"/>
  <c r="F4" i="7"/>
  <c r="C6" i="2"/>
  <c r="F6" i="2"/>
  <c r="E11" i="9"/>
  <c r="E13" i="9" s="1"/>
  <c r="E12" i="9"/>
  <c r="E10" i="9"/>
  <c r="G5" i="2"/>
  <c r="I11" i="8"/>
  <c r="C7" i="8"/>
  <c r="H7" i="8" s="1"/>
  <c r="I7" i="8" s="1"/>
  <c r="F7" i="8"/>
  <c r="C8" i="8"/>
  <c r="H8" i="8" s="1"/>
  <c r="I8" i="8" s="1"/>
  <c r="F8" i="8"/>
  <c r="C9" i="8"/>
  <c r="H9" i="8" s="1"/>
  <c r="I9" i="8" s="1"/>
  <c r="F9" i="8"/>
  <c r="C10" i="8"/>
  <c r="H10" i="8" s="1"/>
  <c r="F10" i="8"/>
  <c r="H5" i="11" l="1"/>
  <c r="G4" i="7"/>
  <c r="I4" i="7" s="1"/>
  <c r="H6" i="2"/>
  <c r="I5" i="8"/>
  <c r="I6" i="8"/>
  <c r="I4" i="8"/>
  <c r="F3" i="10"/>
  <c r="F4" i="10"/>
  <c r="C4" i="10"/>
  <c r="C3" i="10"/>
  <c r="E4" i="9"/>
  <c r="E6" i="9" s="1"/>
  <c r="E5" i="9"/>
  <c r="F3" i="7"/>
  <c r="G3" i="7" s="1"/>
  <c r="I3" i="7" s="1"/>
  <c r="C3" i="7"/>
  <c r="C5" i="2"/>
  <c r="F5" i="2"/>
  <c r="F4" i="2"/>
  <c r="H4" i="2" s="1"/>
  <c r="C4" i="2"/>
  <c r="H4" i="10" l="1"/>
  <c r="H3" i="10"/>
  <c r="K3" i="10" s="1"/>
  <c r="H5" i="2"/>
  <c r="F6" i="8" l="1"/>
  <c r="C6" i="8"/>
  <c r="H6" i="8" s="1"/>
  <c r="F5" i="8"/>
  <c r="C5" i="8"/>
  <c r="F4" i="8"/>
  <c r="C4" i="8"/>
  <c r="E72" i="5"/>
  <c r="H4" i="8" l="1"/>
  <c r="H5" i="8"/>
  <c r="H21" i="4"/>
  <c r="H20" i="4"/>
  <c r="H19" i="4"/>
  <c r="H18" i="4"/>
  <c r="H14" i="4"/>
  <c r="H15" i="4"/>
  <c r="H13" i="4"/>
  <c r="E66" i="5" l="1"/>
  <c r="E55" i="5"/>
  <c r="C13" i="5"/>
  <c r="E49" i="4"/>
  <c r="E48" i="4"/>
  <c r="E47" i="4"/>
  <c r="E46" i="4"/>
  <c r="E45" i="4"/>
  <c r="E44" i="4"/>
  <c r="E43" i="4"/>
  <c r="E42" i="4"/>
  <c r="I42" i="4" s="1"/>
  <c r="E40" i="4"/>
  <c r="I40" i="4" s="1"/>
  <c r="E39" i="4"/>
  <c r="I39" i="4" s="1"/>
  <c r="E38" i="4"/>
  <c r="I38" i="4" s="1"/>
  <c r="E37" i="4"/>
  <c r="I37" i="4" s="1"/>
  <c r="E36" i="4"/>
  <c r="I36" i="4" s="1"/>
  <c r="E35" i="4"/>
  <c r="I35" i="4" s="1"/>
  <c r="E34" i="4"/>
  <c r="I34" i="4" s="1"/>
  <c r="E33" i="4"/>
  <c r="I33" i="4" s="1"/>
  <c r="E31" i="4"/>
  <c r="I31" i="4" s="1"/>
  <c r="E30" i="4"/>
  <c r="I30" i="4" s="1"/>
  <c r="E29" i="4"/>
  <c r="I29" i="4" s="1"/>
  <c r="E28" i="4"/>
  <c r="I28" i="4" s="1"/>
  <c r="E27" i="4"/>
  <c r="I27" i="4" s="1"/>
  <c r="E26" i="4"/>
  <c r="I26" i="4" s="1"/>
  <c r="E25" i="4"/>
  <c r="I25" i="4" s="1"/>
  <c r="E24" i="4"/>
  <c r="I24" i="4" s="1"/>
  <c r="E21" i="4"/>
  <c r="I21" i="4" s="1"/>
  <c r="E20" i="4"/>
  <c r="I20" i="4" s="1"/>
  <c r="E19" i="4"/>
  <c r="I19" i="4" s="1"/>
  <c r="E18" i="4"/>
  <c r="I18" i="4" s="1"/>
  <c r="E15" i="4"/>
  <c r="I15" i="4" s="1"/>
  <c r="E14" i="4"/>
  <c r="I14" i="4" s="1"/>
  <c r="E13" i="4"/>
  <c r="I13" i="4" s="1"/>
  <c r="I11" i="4"/>
  <c r="H10" i="4"/>
  <c r="E10" i="4"/>
  <c r="H9" i="4"/>
  <c r="E9" i="4"/>
  <c r="H8" i="4"/>
  <c r="E8" i="4"/>
  <c r="E5" i="4"/>
  <c r="I5" i="4" s="1"/>
  <c r="E4" i="4"/>
  <c r="I4" i="4" s="1"/>
  <c r="I10" i="4" l="1"/>
  <c r="I9" i="4"/>
  <c r="I8" i="4"/>
  <c r="E42" i="5"/>
  <c r="E29" i="5"/>
  <c r="E14" i="5"/>
</calcChain>
</file>

<file path=xl/sharedStrings.xml><?xml version="1.0" encoding="utf-8"?>
<sst xmlns="http://schemas.openxmlformats.org/spreadsheetml/2006/main" count="230" uniqueCount="99">
  <si>
    <t>NUTAN</t>
  </si>
  <si>
    <t>Month</t>
  </si>
  <si>
    <t>Salary</t>
  </si>
  <si>
    <t>Per Day</t>
  </si>
  <si>
    <t>Total Day</t>
  </si>
  <si>
    <t>Present</t>
  </si>
  <si>
    <t>Absent</t>
  </si>
  <si>
    <t>Payable Salary</t>
  </si>
  <si>
    <t>Total Days</t>
  </si>
  <si>
    <t>Grand Total</t>
  </si>
  <si>
    <t>Salarey  Payments</t>
  </si>
  <si>
    <t>Sr. No.</t>
  </si>
  <si>
    <t>Payment Date</t>
  </si>
  <si>
    <t>Name</t>
  </si>
  <si>
    <t>Amount</t>
  </si>
  <si>
    <t xml:space="preserve">Per Day Amount </t>
  </si>
  <si>
    <t>Days</t>
  </si>
  <si>
    <t>Attendance</t>
  </si>
  <si>
    <t>Total Amount</t>
  </si>
  <si>
    <t>PAID</t>
  </si>
  <si>
    <t>Anita</t>
  </si>
  <si>
    <t>Nutan</t>
  </si>
  <si>
    <t>Salary of Feb 2025</t>
  </si>
  <si>
    <t>Salary of Mar 2025</t>
  </si>
  <si>
    <t>Date</t>
  </si>
  <si>
    <t>Particulars</t>
  </si>
  <si>
    <t>Km</t>
  </si>
  <si>
    <t>Per km Rate</t>
  </si>
  <si>
    <t>Total Km Travelled</t>
  </si>
  <si>
    <t xml:space="preserve">Grand Total </t>
  </si>
  <si>
    <t>Paid</t>
  </si>
  <si>
    <t>Dec</t>
  </si>
  <si>
    <t>Jan</t>
  </si>
  <si>
    <t>2025-2026</t>
  </si>
  <si>
    <t>Nov</t>
  </si>
  <si>
    <t>17/12/24</t>
  </si>
  <si>
    <t>Materials bought</t>
  </si>
  <si>
    <t>Driver salary</t>
  </si>
  <si>
    <t>15/2/25</t>
  </si>
  <si>
    <t>16/1/25</t>
  </si>
  <si>
    <t>2025-26</t>
  </si>
  <si>
    <t>April</t>
  </si>
  <si>
    <t>May</t>
  </si>
  <si>
    <t>15/5/25</t>
  </si>
  <si>
    <t>15/6/26</t>
  </si>
  <si>
    <t>Fuel Charges/ other bills</t>
  </si>
  <si>
    <t>Sai Vailankanni</t>
  </si>
  <si>
    <t xml:space="preserve">Sai vailankanni </t>
  </si>
  <si>
    <t xml:space="preserve"> Rate</t>
  </si>
  <si>
    <t>Qty</t>
  </si>
  <si>
    <t>material</t>
  </si>
  <si>
    <t>Paid date</t>
  </si>
  <si>
    <t>21/5/25</t>
  </si>
  <si>
    <t>Mode</t>
  </si>
  <si>
    <t>Gpay</t>
  </si>
  <si>
    <t>Total Paid AMOUNT</t>
  </si>
  <si>
    <t>Feb</t>
  </si>
  <si>
    <t>Mar</t>
  </si>
  <si>
    <t>Apr</t>
  </si>
  <si>
    <t>Jun</t>
  </si>
  <si>
    <t>15/2/26</t>
  </si>
  <si>
    <t>15/2/27</t>
  </si>
  <si>
    <t>15/2/28</t>
  </si>
  <si>
    <t>15/2/29</t>
  </si>
  <si>
    <t>AMAZON</t>
  </si>
  <si>
    <t xml:space="preserve">Shubhu </t>
  </si>
  <si>
    <t>files</t>
  </si>
  <si>
    <t xml:space="preserve">Book </t>
  </si>
  <si>
    <t>Drawing Book</t>
  </si>
  <si>
    <t>June</t>
  </si>
  <si>
    <t>July</t>
  </si>
  <si>
    <t>15/6/25</t>
  </si>
  <si>
    <t>15/7/25</t>
  </si>
  <si>
    <t>anita</t>
  </si>
  <si>
    <t>paid</t>
  </si>
  <si>
    <t>kamla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</si>
  <si>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</si>
  <si>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</si>
  <si>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</si>
  <si>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</si>
  <si>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</si>
  <si>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</si>
  <si>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</si>
  <si>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</si>
  <si>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Paid amount</t>
  </si>
  <si>
    <t>Cash</t>
  </si>
  <si>
    <t>Salary of Apr 2025</t>
  </si>
  <si>
    <t>Salary of May 2025</t>
  </si>
  <si>
    <t>/5/2025</t>
  </si>
  <si>
    <t>Kamla</t>
  </si>
  <si>
    <t>Debojit</t>
  </si>
  <si>
    <t>Salary of Jun 2025</t>
  </si>
  <si>
    <t>Salary of July 2024</t>
  </si>
  <si>
    <t>Pritika</t>
  </si>
  <si>
    <t>14/6/25</t>
  </si>
  <si>
    <t>Salary of Aug 2025</t>
  </si>
  <si>
    <t>Petrol</t>
  </si>
  <si>
    <t>15/7/26</t>
  </si>
  <si>
    <t>/8/25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</si>
</sst>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8">
    <xf numFmtId="0" fontId="0" fillId="0" borderId="0" xfId="0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3" xfId="0" applyFill="1" applyBorder="1"/>
    <xf numFmtId="0" fontId="2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5" fillId="0" borderId="0" xfId="0" applyFont="1"/>
    <xf numFmtId="0" fontId="6" fillId="4" borderId="12" xfId="0" applyFont="1" applyFill="1" applyBorder="1" applyAlignment="1">
      <alignment horizontal="center" vertical="center"/>
    </xf>
    <xf numFmtId="43" fontId="6" fillId="4" borderId="12" xfId="1" applyFont="1" applyFill="1" applyBorder="1" applyAlignment="1">
      <alignment horizontal="center" vertical="center"/>
    </xf>
    <xf numFmtId="0" fontId="6" fillId="4" borderId="12" xfId="1" applyNumberFormat="1" applyFont="1" applyFill="1" applyBorder="1" applyAlignment="1">
      <alignment horizontal="center" vertical="center"/>
    </xf>
    <xf numFmtId="0" fontId="6" fillId="4" borderId="13" xfId="1" applyNumberFormat="1" applyFont="1" applyFill="1" applyBorder="1" applyAlignment="1">
      <alignment horizontal="center" vertical="center"/>
    </xf>
    <xf numFmtId="43" fontId="6" fillId="4" borderId="14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" xfId="1" applyNumberFormat="1" applyFont="1" applyBorder="1"/>
    <xf numFmtId="0" fontId="7" fillId="0" borderId="3" xfId="0" applyFont="1" applyBorder="1" applyAlignment="1">
      <alignment horizontal="center"/>
    </xf>
    <xf numFmtId="14" fontId="7" fillId="0" borderId="3" xfId="0" applyNumberFormat="1" applyFont="1" applyBorder="1"/>
    <xf numFmtId="0" fontId="7" fillId="0" borderId="3" xfId="0" applyFont="1" applyBorder="1" applyAlignment="1">
      <alignment horizontal="center" vertical="center"/>
    </xf>
    <xf numFmtId="43" fontId="7" fillId="0" borderId="3" xfId="1" applyFont="1" applyBorder="1"/>
    <xf numFmtId="0" fontId="7" fillId="0" borderId="3" xfId="1" applyNumberFormat="1" applyFont="1" applyBorder="1"/>
    <xf numFmtId="43" fontId="0" fillId="0" borderId="3" xfId="1" applyFont="1" applyBorder="1"/>
    <xf numFmtId="0" fontId="7" fillId="0" borderId="3" xfId="0" applyFont="1" applyBorder="1"/>
    <xf numFmtId="43" fontId="0" fillId="0" borderId="0" xfId="1" applyFont="1"/>
    <xf numFmtId="0" fontId="0" fillId="0" borderId="0" xfId="1" applyNumberFormat="1" applyFont="1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 vertical="center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4" fontId="7" fillId="0" borderId="3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5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15" fontId="0" fillId="2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Fill="1" applyBorder="1"/>
    <xf numFmtId="0" fontId="1" fillId="0" borderId="19" xfId="0" applyFont="1" applyBorder="1"/>
    <xf numFmtId="0" fontId="0" fillId="0" borderId="19" xfId="0" applyBorder="1"/>
    <xf numFmtId="14" fontId="0" fillId="0" borderId="3" xfId="0" applyNumberForma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center" vertical="center"/>
    </xf>
    <xf numFmtId="16" fontId="1" fillId="0" borderId="20" xfId="0" applyNumberFormat="1" applyFont="1" applyFill="1" applyBorder="1"/>
    <xf numFmtId="0" fontId="1" fillId="0" borderId="20" xfId="0" applyFont="1" applyFill="1" applyBorder="1"/>
    <xf numFmtId="0" fontId="1" fillId="0" borderId="20" xfId="0" applyFont="1" applyBorder="1"/>
    <xf numFmtId="0" fontId="1" fillId="0" borderId="21" xfId="0" applyFont="1" applyFill="1" applyBorder="1"/>
    <xf numFmtId="0" fontId="0" fillId="0" borderId="22" xfId="0" applyBorder="1"/>
    <xf numFmtId="0" fontId="0" fillId="0" borderId="23" xfId="0" applyBorder="1"/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32" xfId="0" applyFont="1" applyBorder="1"/>
    <xf numFmtId="0" fontId="3" fillId="0" borderId="2" xfId="0" applyFont="1" applyBorder="1"/>
    <xf numFmtId="0" fontId="3" fillId="0" borderId="36" xfId="0" applyFont="1" applyBorder="1"/>
    <xf numFmtId="0" fontId="0" fillId="0" borderId="26" xfId="0" applyBorder="1"/>
    <xf numFmtId="0" fontId="0" fillId="0" borderId="27" xfId="0" applyBorder="1"/>
    <xf numFmtId="0" fontId="3" fillId="0" borderId="28" xfId="0" applyFont="1" applyBorder="1"/>
    <xf numFmtId="0" fontId="3" fillId="0" borderId="1" xfId="0" applyFont="1" applyBorder="1"/>
    <xf numFmtId="0" fontId="0" fillId="0" borderId="25" xfId="0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5" fontId="0" fillId="0" borderId="38" xfId="0" applyNumberFormat="1" applyFill="1" applyBorder="1" applyAlignment="1">
      <alignment horizontal="center" vertical="center"/>
    </xf>
    <xf numFmtId="15" fontId="0" fillId="0" borderId="3" xfId="0" applyNumberFormat="1" applyFill="1" applyBorder="1" applyAlignment="1">
      <alignment horizontal="center" vertical="center"/>
    </xf>
    <xf numFmtId="15" fontId="0" fillId="0" borderId="39" xfId="0" applyNumberFormat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14" fontId="0" fillId="2" borderId="0" xfId="0" applyNumberFormat="1" applyFill="1"/>
    <xf numFmtId="14" fontId="0" fillId="0" borderId="3" xfId="0" applyNumberFormat="1" applyBorder="1"/>
    <xf numFmtId="0" fontId="6" fillId="4" borderId="11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43" fontId="1" fillId="0" borderId="19" xfId="1" applyFont="1" applyFill="1" applyBorder="1"/>
    <xf numFmtId="43" fontId="1" fillId="0" borderId="3" xfId="1" applyFont="1" applyFill="1" applyBorder="1"/>
    <xf numFmtId="43" fontId="0" fillId="0" borderId="3" xfId="0" applyNumberFormat="1" applyBorder="1"/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0" fillId="0" borderId="0" xfId="0" applyNumberFormat="1"/>
    <xf numFmtId="43" fontId="0" fillId="0" borderId="26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43" fontId="1" fillId="0" borderId="34" xfId="1" applyFont="1" applyFill="1" applyBorder="1"/>
    <xf numFmtId="0" fontId="3" fillId="0" borderId="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" fontId="0" fillId="0" borderId="3" xfId="0" applyNumberFormat="1" applyBorder="1"/>
    <xf numFmtId="0" fontId="2" fillId="0" borderId="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1" fillId="0" borderId="43" xfId="1" applyFont="1" applyFill="1" applyBorder="1"/>
    <xf numFmtId="0" fontId="0" fillId="0" borderId="0" xfId="0" applyFill="1" applyBorder="1"/>
    <xf numFmtId="0" fontId="1" fillId="0" borderId="34" xfId="0" applyFont="1" applyBorder="1"/>
    <xf numFmtId="14" fontId="0" fillId="0" borderId="0" xfId="0" applyNumberFormat="1"/>
    <xf numFmtId="0" fontId="0" fillId="6" borderId="0" xfId="0" applyFill="1"/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0" fillId="0" borderId="7" xfId="0" applyBorder="1"/>
    <xf numFmtId="16" fontId="0" fillId="0" borderId="3" xfId="0" applyNumberFormat="1" applyBorder="1" applyAlignment="1">
      <alignment horizontal="center" vertical="center"/>
    </xf>
    <xf numFmtId="0" fontId="1" fillId="0" borderId="3" xfId="0" applyFont="1" applyBorder="1"/>
    <xf numFmtId="0" fontId="0" fillId="0" borderId="3" xfId="0" applyFill="1" applyBorder="1" applyAlignment="1">
      <alignment horizontal="center" vertical="center"/>
    </xf>
    <xf numFmtId="16" fontId="0" fillId="0" borderId="3" xfId="0" applyNumberFormat="1" applyFont="1" applyFill="1" applyBorder="1"/>
    <xf numFmtId="0" fontId="5" fillId="3" borderId="1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6" borderId="16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7A8B-2E80-414E-9C76-173FA7A85C71}">
  <dimension ref="A1:M50"/>
  <sheetViews>
    <sheetView workbookViewId="0">
      <selection activeCell="B24" sqref="B24"/>
    </sheetView>
  </sheetViews>
  <sheetFormatPr defaultRowHeight="15" x14ac:dyDescent="0.25"/>
  <cols>
    <col min="1" max="1" width="14.5703125" style="104" customWidth="1"/>
    <col min="2" max="2" width="15.85546875" style="25" customWidth="1"/>
    <col min="3" max="3" width="10.85546875" customWidth="1"/>
    <col min="4" max="4" width="12.5703125" style="23" customWidth="1"/>
    <col min="5" max="5" width="20" style="23" bestFit="1" customWidth="1"/>
    <col min="6" max="6" width="9.28515625" style="24" customWidth="1"/>
    <col min="7" max="7" width="10.42578125" style="24" customWidth="1"/>
    <col min="8" max="8" width="13.140625" style="24" bestFit="1" customWidth="1"/>
    <col min="9" max="9" width="16.5703125" style="23" bestFit="1" customWidth="1"/>
  </cols>
  <sheetData>
    <row r="1" spans="1:13" ht="21" x14ac:dyDescent="0.35">
      <c r="A1" s="149" t="s">
        <v>10</v>
      </c>
      <c r="B1" s="150"/>
      <c r="C1" s="150"/>
      <c r="D1" s="150"/>
      <c r="E1" s="150"/>
      <c r="F1" s="150"/>
      <c r="G1" s="150"/>
      <c r="H1" s="150"/>
      <c r="I1" s="150"/>
      <c r="J1" s="150"/>
      <c r="K1" s="8"/>
      <c r="L1" s="8"/>
      <c r="M1" s="8"/>
    </row>
    <row r="2" spans="1:13" s="14" customFormat="1" ht="18.75" x14ac:dyDescent="0.3">
      <c r="A2" s="101" t="s">
        <v>11</v>
      </c>
      <c r="B2" s="9" t="s">
        <v>12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6</v>
      </c>
      <c r="H2" s="12" t="s">
        <v>17</v>
      </c>
      <c r="I2" s="13" t="s">
        <v>18</v>
      </c>
      <c r="J2" s="13" t="s">
        <v>19</v>
      </c>
    </row>
    <row r="3" spans="1:13" s="14" customFormat="1" ht="37.5" x14ac:dyDescent="0.3">
      <c r="A3" s="105" t="s">
        <v>86</v>
      </c>
      <c r="B3" s="106"/>
      <c r="C3" s="106"/>
      <c r="D3" s="107"/>
      <c r="E3" s="107"/>
      <c r="F3" s="108"/>
      <c r="G3" s="108"/>
      <c r="H3" s="108"/>
      <c r="I3" s="107"/>
      <c r="J3" s="15"/>
    </row>
    <row r="4" spans="1:13" ht="15.75" x14ac:dyDescent="0.25">
      <c r="A4" s="102">
        <v>1</v>
      </c>
      <c r="B4" s="51" t="s">
        <v>88</v>
      </c>
      <c r="C4" s="18" t="s">
        <v>20</v>
      </c>
      <c r="D4" s="19">
        <v>1800</v>
      </c>
      <c r="E4" s="19">
        <f>D4/F4</f>
        <v>60</v>
      </c>
      <c r="F4" s="20">
        <v>30</v>
      </c>
      <c r="G4" s="20"/>
      <c r="H4" s="20">
        <v>30</v>
      </c>
      <c r="I4" s="19">
        <f>E4*H4</f>
        <v>1800</v>
      </c>
      <c r="J4" s="15" t="s">
        <v>19</v>
      </c>
    </row>
    <row r="5" spans="1:13" ht="15.75" x14ac:dyDescent="0.25">
      <c r="A5" s="102">
        <v>2</v>
      </c>
      <c r="B5" s="35" t="s">
        <v>43</v>
      </c>
      <c r="C5" s="17" t="s">
        <v>21</v>
      </c>
      <c r="D5" s="21"/>
      <c r="E5" s="19">
        <f t="shared" ref="E5" si="0">D5/F5</f>
        <v>0</v>
      </c>
      <c r="F5" s="20">
        <v>30</v>
      </c>
      <c r="G5" s="20"/>
      <c r="H5" s="15"/>
      <c r="I5" s="19">
        <f t="shared" ref="I5" si="1">E5*H5</f>
        <v>0</v>
      </c>
      <c r="J5" s="15"/>
    </row>
    <row r="6" spans="1:13" ht="15.75" x14ac:dyDescent="0.25">
      <c r="A6" s="102"/>
      <c r="B6" s="16"/>
      <c r="C6" s="22"/>
      <c r="D6" s="19"/>
      <c r="E6" s="19"/>
      <c r="F6" s="20"/>
      <c r="G6" s="20"/>
      <c r="H6" s="20"/>
      <c r="I6" s="19"/>
      <c r="J6" s="15"/>
    </row>
    <row r="7" spans="1:13" ht="37.5" x14ac:dyDescent="0.3">
      <c r="A7" s="105" t="s">
        <v>87</v>
      </c>
      <c r="B7" s="35"/>
      <c r="C7" s="1"/>
      <c r="D7" s="21"/>
      <c r="E7" s="21"/>
      <c r="F7" s="15"/>
      <c r="G7" s="15"/>
      <c r="H7" s="15"/>
      <c r="I7" s="21"/>
      <c r="J7" s="1"/>
    </row>
    <row r="8" spans="1:13" ht="15.75" x14ac:dyDescent="0.25">
      <c r="A8" s="102">
        <v>1</v>
      </c>
      <c r="B8" s="51">
        <v>45906</v>
      </c>
      <c r="C8" s="17" t="s">
        <v>89</v>
      </c>
      <c r="D8" s="19">
        <v>1800</v>
      </c>
      <c r="E8" s="19">
        <f>D8/F8</f>
        <v>58.064516129032256</v>
      </c>
      <c r="F8" s="20">
        <v>31</v>
      </c>
      <c r="G8" s="20"/>
      <c r="H8" s="20">
        <f>F8-G8</f>
        <v>31</v>
      </c>
      <c r="I8" s="19">
        <f>E8*H8</f>
        <v>1800</v>
      </c>
      <c r="J8" s="15" t="s">
        <v>19</v>
      </c>
    </row>
    <row r="9" spans="1:13" ht="15.75" x14ac:dyDescent="0.25">
      <c r="A9" s="102">
        <v>2</v>
      </c>
      <c r="B9" s="16" t="s">
        <v>94</v>
      </c>
      <c r="C9" s="17" t="s">
        <v>21</v>
      </c>
      <c r="D9" s="19">
        <v>12000</v>
      </c>
      <c r="E9" s="19">
        <f>D9/F9</f>
        <v>387.09677419354841</v>
      </c>
      <c r="F9" s="20">
        <v>31</v>
      </c>
      <c r="G9" s="20"/>
      <c r="H9" s="20">
        <f t="shared" ref="H9:H10" si="2">F9-G9</f>
        <v>31</v>
      </c>
      <c r="I9" s="19">
        <f>E9*H9</f>
        <v>12000</v>
      </c>
      <c r="J9" s="15" t="s">
        <v>19</v>
      </c>
    </row>
    <row r="10" spans="1:13" ht="15.75" x14ac:dyDescent="0.25">
      <c r="A10" s="102">
        <v>3</v>
      </c>
      <c r="B10" s="16" t="s">
        <v>94</v>
      </c>
      <c r="C10" s="17" t="s">
        <v>90</v>
      </c>
      <c r="D10" s="19">
        <v>30000</v>
      </c>
      <c r="E10" s="19">
        <f>D10/F10</f>
        <v>967.74193548387098</v>
      </c>
      <c r="F10" s="20">
        <v>31</v>
      </c>
      <c r="G10" s="20">
        <v>2.5</v>
      </c>
      <c r="H10" s="20">
        <f t="shared" si="2"/>
        <v>28.5</v>
      </c>
      <c r="I10" s="19">
        <f>E10*H10</f>
        <v>27580.645161290322</v>
      </c>
      <c r="J10" s="15" t="s">
        <v>19</v>
      </c>
    </row>
    <row r="11" spans="1:13" ht="15.75" x14ac:dyDescent="0.25">
      <c r="A11" s="102"/>
      <c r="B11" s="16"/>
      <c r="C11" s="22"/>
      <c r="D11" s="19"/>
      <c r="E11" s="19"/>
      <c r="F11" s="20"/>
      <c r="G11" s="20"/>
      <c r="H11" s="20"/>
      <c r="I11" s="19">
        <f>E11*H11</f>
        <v>0</v>
      </c>
      <c r="J11" s="1"/>
    </row>
    <row r="12" spans="1:13" ht="37.5" x14ac:dyDescent="0.3">
      <c r="A12" s="105" t="s">
        <v>91</v>
      </c>
      <c r="B12" s="35"/>
      <c r="C12" s="1"/>
      <c r="D12" s="21"/>
      <c r="E12" s="21"/>
      <c r="F12" s="15"/>
      <c r="G12" s="15"/>
      <c r="H12" s="15"/>
      <c r="I12" s="21"/>
      <c r="J12" s="1"/>
    </row>
    <row r="13" spans="1:13" ht="15.75" x14ac:dyDescent="0.25">
      <c r="A13" s="102">
        <v>1</v>
      </c>
      <c r="B13" s="51">
        <v>45998</v>
      </c>
      <c r="C13" s="17" t="s">
        <v>89</v>
      </c>
      <c r="D13" s="19">
        <v>1800</v>
      </c>
      <c r="E13" s="19">
        <f>D13/F13</f>
        <v>60</v>
      </c>
      <c r="F13" s="20">
        <v>30</v>
      </c>
      <c r="G13" s="20"/>
      <c r="H13" s="20">
        <f t="shared" ref="H13:H15" si="3">F13-G13</f>
        <v>30</v>
      </c>
      <c r="I13" s="19">
        <f>E13*H13</f>
        <v>1800</v>
      </c>
      <c r="J13" s="1" t="s">
        <v>19</v>
      </c>
    </row>
    <row r="14" spans="1:13" ht="15.75" x14ac:dyDescent="0.25">
      <c r="A14" s="102">
        <v>2</v>
      </c>
      <c r="B14" s="16" t="s">
        <v>72</v>
      </c>
      <c r="C14" s="17" t="s">
        <v>21</v>
      </c>
      <c r="D14" s="19">
        <v>12000</v>
      </c>
      <c r="E14" s="19">
        <f t="shared" ref="E14:E15" si="4">D14/F14</f>
        <v>400</v>
      </c>
      <c r="F14" s="20">
        <v>30</v>
      </c>
      <c r="G14" s="20"/>
      <c r="H14" s="20">
        <f t="shared" si="3"/>
        <v>30</v>
      </c>
      <c r="I14" s="19">
        <f t="shared" ref="I14:I15" si="5">E14*H14</f>
        <v>12000</v>
      </c>
      <c r="J14" s="1" t="s">
        <v>19</v>
      </c>
    </row>
    <row r="15" spans="1:13" ht="15.75" x14ac:dyDescent="0.25">
      <c r="A15" s="102">
        <v>3</v>
      </c>
      <c r="B15" s="16" t="s">
        <v>72</v>
      </c>
      <c r="C15" s="17" t="s">
        <v>90</v>
      </c>
      <c r="D15" s="21">
        <v>30000</v>
      </c>
      <c r="E15" s="19">
        <f t="shared" si="4"/>
        <v>1000</v>
      </c>
      <c r="F15" s="20">
        <v>30</v>
      </c>
      <c r="G15" s="20">
        <v>2</v>
      </c>
      <c r="H15" s="20">
        <f t="shared" si="3"/>
        <v>28</v>
      </c>
      <c r="I15" s="19">
        <f t="shared" si="5"/>
        <v>28000</v>
      </c>
      <c r="J15" s="1" t="s">
        <v>19</v>
      </c>
    </row>
    <row r="16" spans="1:13" ht="15.75" x14ac:dyDescent="0.25">
      <c r="A16" s="102"/>
      <c r="B16" s="16"/>
      <c r="C16" s="22"/>
      <c r="D16" s="19"/>
      <c r="E16" s="19"/>
      <c r="F16" s="20"/>
      <c r="G16" s="20"/>
      <c r="H16" s="20"/>
      <c r="I16" s="19"/>
      <c r="J16" s="1"/>
    </row>
    <row r="17" spans="1:10" ht="37.5" x14ac:dyDescent="0.3">
      <c r="A17" s="105" t="s">
        <v>92</v>
      </c>
      <c r="B17" s="35"/>
      <c r="C17" s="1"/>
      <c r="D17" s="21"/>
      <c r="E17" s="21"/>
      <c r="F17" s="15"/>
      <c r="G17" s="15"/>
      <c r="H17" s="15"/>
      <c r="I17" s="21"/>
      <c r="J17" s="1"/>
    </row>
    <row r="18" spans="1:10" ht="15.75" x14ac:dyDescent="0.25">
      <c r="A18" s="102">
        <v>1</v>
      </c>
      <c r="B18" s="100">
        <v>45908</v>
      </c>
      <c r="C18" s="17" t="s">
        <v>89</v>
      </c>
      <c r="D18" s="19">
        <v>1800</v>
      </c>
      <c r="E18" s="19">
        <f>D18/F18</f>
        <v>58.064516129032256</v>
      </c>
      <c r="F18" s="20">
        <v>31</v>
      </c>
      <c r="G18" s="20"/>
      <c r="H18" s="20">
        <f t="shared" ref="H18:H21" si="6">F18-G18</f>
        <v>31</v>
      </c>
      <c r="I18" s="19">
        <f>E18*H18</f>
        <v>1800</v>
      </c>
      <c r="J18" s="1" t="s">
        <v>30</v>
      </c>
    </row>
    <row r="19" spans="1:10" ht="15.75" x14ac:dyDescent="0.25">
      <c r="A19" s="102">
        <v>2</v>
      </c>
      <c r="B19" s="16"/>
      <c r="C19" s="17" t="s">
        <v>21</v>
      </c>
      <c r="D19" s="19">
        <v>12000</v>
      </c>
      <c r="E19" s="19">
        <f t="shared" ref="E19:E21" si="7">D19/F19</f>
        <v>387.09677419354841</v>
      </c>
      <c r="F19" s="20">
        <v>31</v>
      </c>
      <c r="G19" s="20"/>
      <c r="H19" s="20">
        <f t="shared" si="6"/>
        <v>31</v>
      </c>
      <c r="I19" s="19">
        <f t="shared" ref="I19:I21" si="8">E19*H19</f>
        <v>12000</v>
      </c>
      <c r="J19" s="1"/>
    </row>
    <row r="20" spans="1:10" ht="15.75" x14ac:dyDescent="0.25">
      <c r="A20" s="102">
        <v>3</v>
      </c>
      <c r="B20" s="16"/>
      <c r="C20" s="17" t="s">
        <v>90</v>
      </c>
      <c r="D20" s="21">
        <v>30000</v>
      </c>
      <c r="E20" s="19">
        <f t="shared" si="7"/>
        <v>967.74193548387098</v>
      </c>
      <c r="F20" s="20">
        <v>31</v>
      </c>
      <c r="G20" s="20"/>
      <c r="H20" s="20">
        <f t="shared" si="6"/>
        <v>31</v>
      </c>
      <c r="I20" s="19">
        <f t="shared" si="8"/>
        <v>30000</v>
      </c>
      <c r="J20" s="1"/>
    </row>
    <row r="21" spans="1:10" ht="15.75" x14ac:dyDescent="0.25">
      <c r="A21" s="102">
        <v>4</v>
      </c>
      <c r="B21" s="16"/>
      <c r="C21" s="17" t="s">
        <v>93</v>
      </c>
      <c r="D21" s="19">
        <v>18000</v>
      </c>
      <c r="E21" s="19">
        <f t="shared" si="7"/>
        <v>580.64516129032256</v>
      </c>
      <c r="F21" s="20">
        <v>31</v>
      </c>
      <c r="G21" s="20">
        <v>2</v>
      </c>
      <c r="H21" s="20">
        <f t="shared" si="6"/>
        <v>29</v>
      </c>
      <c r="I21" s="19">
        <f t="shared" si="8"/>
        <v>16838.709677419356</v>
      </c>
      <c r="J21" s="1"/>
    </row>
    <row r="22" spans="1:10" ht="15.75" x14ac:dyDescent="0.25">
      <c r="A22" s="102"/>
      <c r="B22" s="16"/>
      <c r="C22" s="22"/>
      <c r="D22" s="19"/>
      <c r="E22" s="19"/>
      <c r="F22" s="20"/>
      <c r="G22" s="20"/>
      <c r="H22" s="20"/>
      <c r="I22" s="19"/>
      <c r="J22" s="1"/>
    </row>
    <row r="23" spans="1:10" ht="37.5" x14ac:dyDescent="0.3">
      <c r="A23" s="105" t="s">
        <v>95</v>
      </c>
      <c r="B23" s="35"/>
      <c r="C23" s="1"/>
      <c r="D23" s="21"/>
      <c r="E23" s="21"/>
      <c r="F23" s="15"/>
      <c r="G23" s="15"/>
      <c r="H23" s="15"/>
      <c r="I23" s="21"/>
      <c r="J23" s="1"/>
    </row>
    <row r="24" spans="1:10" ht="15.75" x14ac:dyDescent="0.25">
      <c r="A24" s="102">
        <v>1</v>
      </c>
      <c r="B24" s="77" t="s">
        <v>38</v>
      </c>
      <c r="C24" s="17" t="s">
        <v>89</v>
      </c>
      <c r="D24" s="19"/>
      <c r="E24" s="19">
        <f>D24/F24</f>
        <v>0</v>
      </c>
      <c r="F24" s="20">
        <v>31</v>
      </c>
      <c r="G24" s="20"/>
      <c r="H24" s="20"/>
      <c r="I24" s="19">
        <f>E24*H24</f>
        <v>0</v>
      </c>
      <c r="J24" s="1"/>
    </row>
    <row r="25" spans="1:10" ht="15.75" x14ac:dyDescent="0.25">
      <c r="A25" s="102">
        <v>2</v>
      </c>
      <c r="B25" s="16"/>
      <c r="C25" s="17" t="s">
        <v>21</v>
      </c>
      <c r="D25" s="19"/>
      <c r="E25" s="19">
        <f t="shared" ref="E25:E31" si="9">D25/F25</f>
        <v>0</v>
      </c>
      <c r="F25" s="20">
        <v>31</v>
      </c>
      <c r="G25" s="20"/>
      <c r="H25" s="20"/>
      <c r="I25" s="19">
        <f t="shared" ref="I25:I31" si="10">E25*H25</f>
        <v>0</v>
      </c>
      <c r="J25" s="1"/>
    </row>
    <row r="26" spans="1:10" ht="15.75" x14ac:dyDescent="0.25">
      <c r="A26" s="102">
        <v>3</v>
      </c>
      <c r="B26" s="77" t="s">
        <v>38</v>
      </c>
      <c r="C26" s="17" t="s">
        <v>90</v>
      </c>
      <c r="D26" s="21"/>
      <c r="E26" s="19">
        <f t="shared" si="9"/>
        <v>0</v>
      </c>
      <c r="F26" s="20">
        <v>31</v>
      </c>
      <c r="G26" s="20"/>
      <c r="H26" s="15"/>
      <c r="I26" s="19">
        <f t="shared" si="10"/>
        <v>0</v>
      </c>
      <c r="J26" s="1"/>
    </row>
    <row r="27" spans="1:10" ht="15.75" x14ac:dyDescent="0.25">
      <c r="A27" s="102">
        <v>4</v>
      </c>
      <c r="B27" s="77" t="s">
        <v>38</v>
      </c>
      <c r="C27" s="17" t="s">
        <v>93</v>
      </c>
      <c r="D27" s="19"/>
      <c r="E27" s="19">
        <f t="shared" si="9"/>
        <v>0</v>
      </c>
      <c r="F27" s="20">
        <v>31</v>
      </c>
      <c r="G27" s="20"/>
      <c r="H27" s="20"/>
      <c r="I27" s="19">
        <f t="shared" si="10"/>
        <v>0</v>
      </c>
      <c r="J27" s="1"/>
    </row>
    <row r="28" spans="1:10" ht="15.75" x14ac:dyDescent="0.25">
      <c r="A28" s="102">
        <v>5</v>
      </c>
      <c r="B28" s="16"/>
      <c r="C28" s="22"/>
      <c r="D28" s="19"/>
      <c r="E28" s="19">
        <f t="shared" si="9"/>
        <v>0</v>
      </c>
      <c r="F28" s="20">
        <v>31</v>
      </c>
      <c r="G28" s="20"/>
      <c r="H28" s="20"/>
      <c r="I28" s="19">
        <f t="shared" si="10"/>
        <v>0</v>
      </c>
      <c r="J28" s="1"/>
    </row>
    <row r="29" spans="1:10" ht="15.75" x14ac:dyDescent="0.25">
      <c r="A29" s="102">
        <v>6</v>
      </c>
      <c r="B29" s="16"/>
      <c r="C29" s="22"/>
      <c r="D29" s="19"/>
      <c r="E29" s="19">
        <f t="shared" si="9"/>
        <v>0</v>
      </c>
      <c r="F29" s="20">
        <v>31</v>
      </c>
      <c r="G29" s="20"/>
      <c r="H29" s="20"/>
      <c r="I29" s="19">
        <f t="shared" si="10"/>
        <v>0</v>
      </c>
      <c r="J29" s="1"/>
    </row>
    <row r="30" spans="1:10" ht="15.75" x14ac:dyDescent="0.25">
      <c r="A30" s="102"/>
      <c r="B30" s="16"/>
      <c r="C30" s="22"/>
      <c r="D30" s="19"/>
      <c r="E30" s="19">
        <f t="shared" si="9"/>
        <v>0</v>
      </c>
      <c r="F30" s="20">
        <v>31</v>
      </c>
      <c r="G30" s="20"/>
      <c r="H30" s="20"/>
      <c r="I30" s="19">
        <f t="shared" si="10"/>
        <v>0</v>
      </c>
      <c r="J30" s="1"/>
    </row>
    <row r="31" spans="1:10" ht="15.75" x14ac:dyDescent="0.25">
      <c r="A31" s="102"/>
      <c r="B31" s="16"/>
      <c r="C31" s="22"/>
      <c r="D31" s="19"/>
      <c r="E31" s="19">
        <f t="shared" si="9"/>
        <v>0</v>
      </c>
      <c r="F31" s="20">
        <v>31</v>
      </c>
      <c r="G31" s="20"/>
      <c r="H31" s="20"/>
      <c r="I31" s="19">
        <f t="shared" si="10"/>
        <v>0</v>
      </c>
      <c r="J31" s="1"/>
    </row>
    <row r="32" spans="1:10" ht="37.5" x14ac:dyDescent="0.3">
      <c r="A32" s="105" t="s">
        <v>22</v>
      </c>
      <c r="B32" s="35"/>
      <c r="C32" s="1"/>
      <c r="D32" s="21"/>
      <c r="E32" s="21"/>
      <c r="F32" s="15"/>
      <c r="G32" s="15"/>
      <c r="H32" s="15"/>
      <c r="I32" s="21"/>
      <c r="J32" s="1"/>
    </row>
    <row r="33" spans="1:10" ht="15.75" x14ac:dyDescent="0.25">
      <c r="A33" s="102">
        <v>1</v>
      </c>
      <c r="B33" s="51"/>
      <c r="C33" s="18"/>
      <c r="D33" s="19"/>
      <c r="E33" s="19">
        <f>D33/F33</f>
        <v>0</v>
      </c>
      <c r="F33" s="20">
        <v>28</v>
      </c>
      <c r="G33" s="20"/>
      <c r="H33" s="20"/>
      <c r="I33" s="19">
        <f>E33*H33</f>
        <v>0</v>
      </c>
      <c r="J33" s="1"/>
    </row>
    <row r="34" spans="1:10" ht="15.75" x14ac:dyDescent="0.25">
      <c r="A34" s="102">
        <v>2</v>
      </c>
      <c r="B34" s="16"/>
      <c r="C34" s="22"/>
      <c r="D34" s="19"/>
      <c r="E34" s="19">
        <f t="shared" ref="E34:E40" si="11">D34/F34</f>
        <v>0</v>
      </c>
      <c r="F34" s="20">
        <v>28</v>
      </c>
      <c r="G34" s="20"/>
      <c r="H34" s="20"/>
      <c r="I34" s="19">
        <f t="shared" ref="I34:I40" si="12">E34*H34</f>
        <v>0</v>
      </c>
      <c r="J34" s="1"/>
    </row>
    <row r="35" spans="1:10" ht="15.75" x14ac:dyDescent="0.25">
      <c r="A35" s="102">
        <v>3</v>
      </c>
      <c r="B35" s="16"/>
      <c r="C35" s="1"/>
      <c r="D35" s="21"/>
      <c r="E35" s="19">
        <f t="shared" si="11"/>
        <v>0</v>
      </c>
      <c r="F35" s="20">
        <v>28</v>
      </c>
      <c r="G35" s="20"/>
      <c r="H35" s="15"/>
      <c r="I35" s="19">
        <f t="shared" si="12"/>
        <v>0</v>
      </c>
      <c r="J35" s="1"/>
    </row>
    <row r="36" spans="1:10" ht="15.75" x14ac:dyDescent="0.25">
      <c r="A36" s="102">
        <v>4</v>
      </c>
      <c r="B36" s="16"/>
      <c r="C36" s="22"/>
      <c r="D36" s="19"/>
      <c r="E36" s="19">
        <f t="shared" si="11"/>
        <v>0</v>
      </c>
      <c r="F36" s="20">
        <v>28</v>
      </c>
      <c r="G36" s="20"/>
      <c r="H36" s="20"/>
      <c r="I36" s="19">
        <f t="shared" si="12"/>
        <v>0</v>
      </c>
      <c r="J36" s="1"/>
    </row>
    <row r="37" spans="1:10" ht="15.75" x14ac:dyDescent="0.25">
      <c r="A37" s="102">
        <v>5</v>
      </c>
      <c r="B37" s="16"/>
      <c r="C37" s="22"/>
      <c r="D37" s="19"/>
      <c r="E37" s="19">
        <f t="shared" si="11"/>
        <v>0</v>
      </c>
      <c r="F37" s="20">
        <v>28</v>
      </c>
      <c r="G37" s="20"/>
      <c r="H37" s="20"/>
      <c r="I37" s="19">
        <f t="shared" si="12"/>
        <v>0</v>
      </c>
      <c r="J37" s="1"/>
    </row>
    <row r="38" spans="1:10" ht="15.75" x14ac:dyDescent="0.25">
      <c r="A38" s="102">
        <v>6</v>
      </c>
      <c r="B38" s="16"/>
      <c r="C38" s="22"/>
      <c r="D38" s="19"/>
      <c r="E38" s="19">
        <f t="shared" si="11"/>
        <v>0</v>
      </c>
      <c r="F38" s="20">
        <v>28</v>
      </c>
      <c r="G38" s="20"/>
      <c r="H38" s="20"/>
      <c r="I38" s="19">
        <f t="shared" si="12"/>
        <v>0</v>
      </c>
      <c r="J38" s="1"/>
    </row>
    <row r="39" spans="1:10" ht="15.75" x14ac:dyDescent="0.25">
      <c r="A39" s="102"/>
      <c r="B39" s="16"/>
      <c r="C39" s="22"/>
      <c r="D39" s="19"/>
      <c r="E39" s="19">
        <f t="shared" si="11"/>
        <v>0</v>
      </c>
      <c r="F39" s="20">
        <v>28</v>
      </c>
      <c r="G39" s="20"/>
      <c r="H39" s="20"/>
      <c r="I39" s="19">
        <f t="shared" si="12"/>
        <v>0</v>
      </c>
      <c r="J39" s="1"/>
    </row>
    <row r="40" spans="1:10" ht="15.75" x14ac:dyDescent="0.25">
      <c r="A40" s="102"/>
      <c r="B40" s="16"/>
      <c r="C40" s="22"/>
      <c r="D40" s="19"/>
      <c r="E40" s="19">
        <f t="shared" si="11"/>
        <v>0</v>
      </c>
      <c r="F40" s="20">
        <v>28</v>
      </c>
      <c r="G40" s="20"/>
      <c r="H40" s="20"/>
      <c r="I40" s="19">
        <f t="shared" si="12"/>
        <v>0</v>
      </c>
      <c r="J40" s="1"/>
    </row>
    <row r="41" spans="1:10" ht="37.5" x14ac:dyDescent="0.3">
      <c r="A41" s="105" t="s">
        <v>23</v>
      </c>
      <c r="B41" s="35"/>
      <c r="C41" s="1"/>
      <c r="D41" s="21"/>
      <c r="E41" s="21"/>
      <c r="F41" s="15"/>
      <c r="G41" s="15"/>
      <c r="H41" s="15"/>
      <c r="I41" s="21"/>
      <c r="J41" s="1"/>
    </row>
    <row r="42" spans="1:10" ht="15.75" x14ac:dyDescent="0.25">
      <c r="A42" s="102">
        <v>1</v>
      </c>
      <c r="B42" s="51"/>
      <c r="C42" s="18"/>
      <c r="D42" s="19"/>
      <c r="E42" s="19">
        <f>D42/F42</f>
        <v>0</v>
      </c>
      <c r="F42" s="20">
        <v>31</v>
      </c>
      <c r="G42" s="20"/>
      <c r="H42" s="20"/>
      <c r="I42" s="19">
        <f>E42*H42</f>
        <v>0</v>
      </c>
      <c r="J42" s="1"/>
    </row>
    <row r="43" spans="1:10" ht="15.75" x14ac:dyDescent="0.25">
      <c r="A43" s="102">
        <v>2</v>
      </c>
      <c r="B43" s="16"/>
      <c r="C43" s="22"/>
      <c r="D43" s="19"/>
      <c r="E43" s="19">
        <f t="shared" ref="E43:E49" si="13">D43/F43</f>
        <v>0</v>
      </c>
      <c r="F43" s="20">
        <v>31</v>
      </c>
      <c r="G43" s="20"/>
      <c r="H43" s="20"/>
      <c r="I43" s="19"/>
      <c r="J43" s="1"/>
    </row>
    <row r="44" spans="1:10" ht="15.75" x14ac:dyDescent="0.25">
      <c r="A44" s="102">
        <v>3</v>
      </c>
      <c r="B44" s="16"/>
      <c r="C44" s="1"/>
      <c r="D44" s="21"/>
      <c r="E44" s="19">
        <f t="shared" si="13"/>
        <v>0</v>
      </c>
      <c r="F44" s="20">
        <v>31</v>
      </c>
      <c r="G44" s="20"/>
      <c r="H44" s="15"/>
      <c r="I44" s="21"/>
      <c r="J44" s="1"/>
    </row>
    <row r="45" spans="1:10" ht="15.75" x14ac:dyDescent="0.25">
      <c r="A45" s="102">
        <v>4</v>
      </c>
      <c r="B45" s="16"/>
      <c r="C45" s="22"/>
      <c r="D45" s="19"/>
      <c r="E45" s="19">
        <f t="shared" si="13"/>
        <v>0</v>
      </c>
      <c r="F45" s="20">
        <v>31</v>
      </c>
      <c r="G45" s="20"/>
      <c r="H45" s="20"/>
      <c r="I45" s="19"/>
      <c r="J45" s="1"/>
    </row>
    <row r="46" spans="1:10" ht="15.75" x14ac:dyDescent="0.25">
      <c r="A46" s="102">
        <v>5</v>
      </c>
      <c r="B46" s="16"/>
      <c r="C46" s="22"/>
      <c r="D46" s="19"/>
      <c r="E46" s="19">
        <f t="shared" si="13"/>
        <v>0</v>
      </c>
      <c r="F46" s="20">
        <v>31</v>
      </c>
      <c r="G46" s="20"/>
      <c r="H46" s="20"/>
      <c r="I46" s="19"/>
      <c r="J46" s="1"/>
    </row>
    <row r="47" spans="1:10" ht="15.75" x14ac:dyDescent="0.25">
      <c r="A47" s="102">
        <v>6</v>
      </c>
      <c r="B47" s="16"/>
      <c r="C47" s="22"/>
      <c r="D47" s="19"/>
      <c r="E47" s="19">
        <f t="shared" si="13"/>
        <v>0</v>
      </c>
      <c r="F47" s="20">
        <v>31</v>
      </c>
      <c r="G47" s="20"/>
      <c r="H47" s="20"/>
      <c r="I47" s="19"/>
      <c r="J47" s="1"/>
    </row>
    <row r="48" spans="1:10" ht="15.75" x14ac:dyDescent="0.25">
      <c r="A48" s="102"/>
      <c r="B48" s="16"/>
      <c r="C48" s="22"/>
      <c r="D48" s="19"/>
      <c r="E48" s="19">
        <f t="shared" si="13"/>
        <v>0</v>
      </c>
      <c r="F48" s="20">
        <v>31</v>
      </c>
      <c r="G48" s="20"/>
      <c r="H48" s="20"/>
      <c r="I48" s="19"/>
      <c r="J48" s="1"/>
    </row>
    <row r="49" spans="1:10" ht="15.75" x14ac:dyDescent="0.25">
      <c r="A49" s="102"/>
      <c r="B49" s="16"/>
      <c r="C49" s="22"/>
      <c r="D49" s="19"/>
      <c r="E49" s="19">
        <f t="shared" si="13"/>
        <v>0</v>
      </c>
      <c r="F49" s="20">
        <v>31</v>
      </c>
      <c r="G49" s="20"/>
      <c r="H49" s="20"/>
      <c r="I49" s="19"/>
      <c r="J49" s="1"/>
    </row>
    <row r="50" spans="1:10" ht="18.75" x14ac:dyDescent="0.3">
      <c r="A50" s="103"/>
    </row>
  </sheetData>
  <mergeCells count="1">
    <mergeCell ref="A1:J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FAD0-9F27-47D1-B597-AB3553288C7B}">
  <dimension ref="A1:O21"/>
  <sheetViews>
    <sheetView workbookViewId="0">
      <selection activeCell="K10" sqref="K10"/>
    </sheetView>
  </sheetViews>
  <sheetFormatPr defaultRowHeight="15" x14ac:dyDescent="0.25"/>
  <cols>
    <col min="1" max="1" width="10.140625" bestFit="1" customWidth="1"/>
    <col min="4" max="4" width="9.42578125" bestFit="1" customWidth="1"/>
    <col min="7" max="7" width="16.5703125" bestFit="1" customWidth="1"/>
    <col min="8" max="8" width="14.140625" bestFit="1" customWidth="1"/>
    <col min="9" max="9" width="13.7109375" style="2" bestFit="1" customWidth="1"/>
  </cols>
  <sheetData>
    <row r="1" spans="1:15" ht="15.75" thickBot="1" x14ac:dyDescent="0.3">
      <c r="A1" s="151" t="s">
        <v>0</v>
      </c>
      <c r="B1" s="152"/>
      <c r="C1" s="152"/>
      <c r="D1" s="152"/>
      <c r="E1" s="152"/>
      <c r="F1" s="152"/>
      <c r="G1" s="153"/>
      <c r="H1" s="152"/>
      <c r="I1" s="154"/>
    </row>
    <row r="2" spans="1:15" ht="16.5" thickBot="1" x14ac:dyDescent="0.3">
      <c r="A2" s="78" t="s">
        <v>1</v>
      </c>
      <c r="B2" s="79" t="s">
        <v>2</v>
      </c>
      <c r="C2" s="79" t="s">
        <v>3</v>
      </c>
      <c r="D2" s="79" t="s">
        <v>4</v>
      </c>
      <c r="E2" s="79" t="s">
        <v>6</v>
      </c>
      <c r="F2" s="80" t="s">
        <v>5</v>
      </c>
      <c r="G2" s="89" t="s">
        <v>36</v>
      </c>
      <c r="H2" s="84" t="s">
        <v>7</v>
      </c>
      <c r="I2" s="121" t="s">
        <v>12</v>
      </c>
    </row>
    <row r="3" spans="1:15" ht="15.75" x14ac:dyDescent="0.25">
      <c r="A3" s="81" t="s">
        <v>33</v>
      </c>
      <c r="B3" s="82"/>
      <c r="C3" s="82"/>
      <c r="D3" s="82"/>
      <c r="E3" s="82"/>
      <c r="F3" s="83"/>
      <c r="G3" s="88"/>
      <c r="H3" s="85"/>
      <c r="I3" s="122"/>
    </row>
    <row r="4" spans="1:15" s="3" customFormat="1" x14ac:dyDescent="0.25">
      <c r="A4" s="70" t="s">
        <v>41</v>
      </c>
      <c r="B4" s="1">
        <v>18000</v>
      </c>
      <c r="C4" s="1">
        <f t="shared" ref="C4" si="0">B4/D4</f>
        <v>600</v>
      </c>
      <c r="D4" s="1">
        <v>30</v>
      </c>
      <c r="E4" s="1"/>
      <c r="F4" s="6">
        <f t="shared" ref="F4" si="1">D4-E4</f>
        <v>30</v>
      </c>
      <c r="G4" s="86"/>
      <c r="H4" s="62">
        <f>C4*F4+G4</f>
        <v>18000</v>
      </c>
      <c r="I4" s="123" t="s">
        <v>43</v>
      </c>
    </row>
    <row r="5" spans="1:15" s="3" customFormat="1" x14ac:dyDescent="0.25">
      <c r="A5" s="71" t="s">
        <v>42</v>
      </c>
      <c r="B5" s="1">
        <v>18000</v>
      </c>
      <c r="C5" s="1">
        <f t="shared" ref="C5" si="2">B5/D5</f>
        <v>580.64516129032256</v>
      </c>
      <c r="D5" s="1">
        <v>31</v>
      </c>
      <c r="E5" s="1"/>
      <c r="F5" s="6">
        <f t="shared" ref="F5" si="3">D5-E5</f>
        <v>31</v>
      </c>
      <c r="G5" s="86">
        <f>109+80+51</f>
        <v>240</v>
      </c>
      <c r="H5" s="62">
        <f>C5*F5+G5</f>
        <v>18240</v>
      </c>
      <c r="I5" s="123" t="s">
        <v>71</v>
      </c>
      <c r="J5" s="3" t="s">
        <v>64</v>
      </c>
      <c r="K5" s="3">
        <v>109</v>
      </c>
      <c r="L5" s="3" t="s">
        <v>65</v>
      </c>
      <c r="M5" s="3">
        <v>80</v>
      </c>
      <c r="N5" s="134" t="s">
        <v>66</v>
      </c>
      <c r="O5" s="3">
        <v>50</v>
      </c>
    </row>
    <row r="6" spans="1:15" s="3" customFormat="1" ht="15" customHeight="1" x14ac:dyDescent="0.25">
      <c r="A6" s="70" t="s">
        <v>69</v>
      </c>
      <c r="B6" s="1">
        <v>18000</v>
      </c>
      <c r="C6" s="1">
        <f t="shared" ref="C6" si="4">B6/D6</f>
        <v>600</v>
      </c>
      <c r="D6" s="1">
        <v>30</v>
      </c>
      <c r="E6" s="1"/>
      <c r="F6" s="6">
        <f t="shared" ref="F6" si="5">D6-E6</f>
        <v>30</v>
      </c>
      <c r="G6" s="86"/>
      <c r="H6" s="62">
        <f>C6*F6+G6</f>
        <v>18000</v>
      </c>
      <c r="I6" s="123" t="s">
        <v>72</v>
      </c>
    </row>
    <row r="7" spans="1:15" x14ac:dyDescent="0.25">
      <c r="A7" s="71" t="s">
        <v>70</v>
      </c>
      <c r="B7" s="1">
        <v>18000</v>
      </c>
      <c r="C7" s="1">
        <f t="shared" ref="C7" si="6">B7/D7</f>
        <v>580.64516129032256</v>
      </c>
      <c r="D7" s="1">
        <v>31</v>
      </c>
      <c r="E7" s="1">
        <v>1</v>
      </c>
      <c r="F7" s="6">
        <f t="shared" ref="F7" si="7">D7-E7</f>
        <v>30</v>
      </c>
      <c r="G7" s="86"/>
      <c r="H7" s="62">
        <f>C7*F7+G7</f>
        <v>17419.354838709678</v>
      </c>
      <c r="I7" s="123" t="s">
        <v>98</v>
      </c>
    </row>
    <row r="8" spans="1:15" x14ac:dyDescent="0.25">
      <c r="A8" s="71"/>
      <c r="B8" s="4"/>
      <c r="C8" s="4"/>
      <c r="D8" s="4"/>
      <c r="E8" s="1"/>
      <c r="F8" s="61"/>
      <c r="G8" s="86"/>
      <c r="H8" s="109"/>
      <c r="I8" s="76"/>
    </row>
    <row r="9" spans="1:15" x14ac:dyDescent="0.25">
      <c r="A9" s="72"/>
      <c r="B9" s="4"/>
      <c r="C9" s="4"/>
      <c r="D9" s="4"/>
      <c r="E9" s="1"/>
      <c r="F9" s="61"/>
      <c r="G9" s="86"/>
      <c r="H9" s="109"/>
      <c r="I9" s="76"/>
    </row>
    <row r="10" spans="1:15" x14ac:dyDescent="0.25">
      <c r="A10" s="71"/>
      <c r="B10" s="1"/>
      <c r="C10" s="1"/>
      <c r="D10" s="1"/>
      <c r="E10" s="1"/>
      <c r="F10" s="6"/>
      <c r="G10" s="86"/>
      <c r="H10" s="63"/>
      <c r="I10" s="124"/>
    </row>
    <row r="11" spans="1:15" x14ac:dyDescent="0.25">
      <c r="A11" s="71"/>
      <c r="B11" s="1"/>
      <c r="C11" s="1"/>
      <c r="D11" s="1"/>
      <c r="E11" s="1"/>
      <c r="F11" s="6"/>
      <c r="G11" s="86"/>
      <c r="H11" s="63"/>
      <c r="I11" s="124"/>
    </row>
    <row r="12" spans="1:15" x14ac:dyDescent="0.25">
      <c r="A12" s="71"/>
      <c r="B12" s="1"/>
      <c r="C12" s="1"/>
      <c r="D12" s="1"/>
      <c r="E12" s="1"/>
      <c r="F12" s="6"/>
      <c r="G12" s="86"/>
      <c r="H12" s="63"/>
      <c r="I12" s="124"/>
    </row>
    <row r="13" spans="1:15" x14ac:dyDescent="0.25">
      <c r="A13" s="71"/>
      <c r="B13" s="1"/>
      <c r="C13" s="1"/>
      <c r="D13" s="1"/>
      <c r="E13" s="1"/>
      <c r="F13" s="6"/>
      <c r="G13" s="86"/>
      <c r="H13" s="63"/>
      <c r="I13" s="124"/>
    </row>
    <row r="14" spans="1:15" x14ac:dyDescent="0.25">
      <c r="A14" s="71"/>
      <c r="B14" s="1"/>
      <c r="C14" s="1"/>
      <c r="D14" s="1"/>
      <c r="E14" s="1"/>
      <c r="F14" s="6"/>
      <c r="G14" s="86"/>
      <c r="H14" s="63"/>
      <c r="I14" s="124"/>
    </row>
    <row r="15" spans="1:15" x14ac:dyDescent="0.25">
      <c r="A15" s="71"/>
      <c r="B15" s="1"/>
      <c r="C15" s="1"/>
      <c r="D15" s="1"/>
      <c r="E15" s="1"/>
      <c r="F15" s="6"/>
      <c r="G15" s="86"/>
      <c r="H15" s="63"/>
      <c r="I15" s="124"/>
    </row>
    <row r="16" spans="1:15" x14ac:dyDescent="0.25">
      <c r="A16" s="71"/>
      <c r="B16" s="1"/>
      <c r="C16" s="1"/>
      <c r="D16" s="1"/>
      <c r="E16" s="1"/>
      <c r="F16" s="6"/>
      <c r="G16" s="86"/>
      <c r="H16" s="63"/>
      <c r="I16" s="124"/>
    </row>
    <row r="17" spans="1:9" x14ac:dyDescent="0.25">
      <c r="A17" s="71"/>
      <c r="B17" s="1"/>
      <c r="C17" s="1"/>
      <c r="D17" s="1"/>
      <c r="E17" s="1"/>
      <c r="F17" s="6"/>
      <c r="G17" s="86"/>
      <c r="H17" s="63"/>
      <c r="I17" s="124"/>
    </row>
    <row r="18" spans="1:9" x14ac:dyDescent="0.25">
      <c r="A18" s="71"/>
      <c r="B18" s="1"/>
      <c r="C18" s="1"/>
      <c r="D18" s="1"/>
      <c r="E18" s="1"/>
      <c r="F18" s="6"/>
      <c r="G18" s="86"/>
      <c r="H18" s="63"/>
      <c r="I18" s="124"/>
    </row>
    <row r="19" spans="1:9" x14ac:dyDescent="0.25">
      <c r="A19" s="71"/>
      <c r="B19" s="1"/>
      <c r="C19" s="1"/>
      <c r="D19" s="1"/>
      <c r="E19" s="1"/>
      <c r="F19" s="6"/>
      <c r="G19" s="86"/>
      <c r="H19" s="63"/>
      <c r="I19" s="124"/>
    </row>
    <row r="20" spans="1:9" ht="15.75" thickBot="1" x14ac:dyDescent="0.3">
      <c r="A20" s="73"/>
      <c r="B20" s="74"/>
      <c r="C20" s="74"/>
      <c r="D20" s="74"/>
      <c r="E20" s="74"/>
      <c r="F20" s="75"/>
      <c r="G20" s="87"/>
      <c r="H20" s="7"/>
      <c r="I20" s="125"/>
    </row>
    <row r="21" spans="1:9" x14ac:dyDescent="0.25">
      <c r="I21" s="69"/>
    </row>
  </sheetData>
  <mergeCells count="1">
    <mergeCell ref="A1:I1"/>
  </mergeCells>
  <phoneticPr fontId="8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6173-DABD-48F9-981C-B1E84F274CA1}">
  <dimension ref="A1:K11"/>
  <sheetViews>
    <sheetView workbookViewId="0">
      <selection activeCell="F20" sqref="F20"/>
    </sheetView>
  </sheetViews>
  <sheetFormatPr defaultRowHeight="15" x14ac:dyDescent="0.25"/>
  <cols>
    <col min="3" max="3" width="11.85546875" bestFit="1" customWidth="1"/>
    <col min="7" max="7" width="16.5703125" bestFit="1" customWidth="1"/>
    <col min="8" max="8" width="14.140625" bestFit="1" customWidth="1"/>
    <col min="9" max="9" width="14.140625" customWidth="1"/>
    <col min="10" max="10" width="13.7109375" style="25" bestFit="1" customWidth="1"/>
  </cols>
  <sheetData>
    <row r="1" spans="1:11" ht="15.75" thickBot="1" x14ac:dyDescent="0.3"/>
    <row r="2" spans="1:11" ht="15.75" thickBot="1" x14ac:dyDescent="0.3">
      <c r="A2" s="151" t="s">
        <v>0</v>
      </c>
      <c r="B2" s="152"/>
      <c r="C2" s="152"/>
      <c r="D2" s="152"/>
      <c r="E2" s="152"/>
      <c r="F2" s="152"/>
      <c r="G2" s="153"/>
      <c r="H2" s="152"/>
      <c r="I2" s="152"/>
      <c r="J2" s="154"/>
    </row>
    <row r="3" spans="1:11" ht="16.5" thickBot="1" x14ac:dyDescent="0.3">
      <c r="A3" s="78" t="s">
        <v>1</v>
      </c>
      <c r="B3" s="79" t="s">
        <v>2</v>
      </c>
      <c r="C3" s="79" t="s">
        <v>3</v>
      </c>
      <c r="D3" s="79" t="s">
        <v>4</v>
      </c>
      <c r="E3" s="79" t="s">
        <v>6</v>
      </c>
      <c r="F3" s="80" t="s">
        <v>5</v>
      </c>
      <c r="G3" s="89" t="s">
        <v>36</v>
      </c>
      <c r="H3" s="84" t="s">
        <v>7</v>
      </c>
      <c r="I3" s="84" t="s">
        <v>55</v>
      </c>
      <c r="J3" s="117" t="s">
        <v>12</v>
      </c>
    </row>
    <row r="4" spans="1:11" x14ac:dyDescent="0.25">
      <c r="A4" s="71" t="s">
        <v>34</v>
      </c>
      <c r="B4" s="1"/>
      <c r="C4" s="4">
        <f>B4/D4</f>
        <v>0</v>
      </c>
      <c r="D4" s="4">
        <v>30</v>
      </c>
      <c r="E4" s="1">
        <v>5</v>
      </c>
      <c r="F4" s="61">
        <f>D4-E4</f>
        <v>25</v>
      </c>
      <c r="G4" s="86">
        <v>133</v>
      </c>
      <c r="H4" s="109">
        <f>C4*F4+G4</f>
        <v>133</v>
      </c>
      <c r="I4" s="120">
        <f>G4+H4</f>
        <v>266</v>
      </c>
      <c r="J4" s="116" t="s">
        <v>35</v>
      </c>
      <c r="K4" s="115"/>
    </row>
    <row r="5" spans="1:11" x14ac:dyDescent="0.25">
      <c r="A5" s="71" t="s">
        <v>31</v>
      </c>
      <c r="B5" s="1"/>
      <c r="C5" s="4">
        <f>B5/D5</f>
        <v>0</v>
      </c>
      <c r="D5" s="4">
        <v>31</v>
      </c>
      <c r="E5" s="1">
        <v>4.5999999999999996</v>
      </c>
      <c r="F5" s="61">
        <f>D5-E5</f>
        <v>26.4</v>
      </c>
      <c r="G5" s="86">
        <v>57</v>
      </c>
      <c r="H5" s="109">
        <f>C5*F5+G5</f>
        <v>57</v>
      </c>
      <c r="I5" s="120">
        <f t="shared" ref="I5:I6" si="0">G5+H5</f>
        <v>114</v>
      </c>
      <c r="J5" s="118" t="s">
        <v>39</v>
      </c>
      <c r="K5" s="115"/>
    </row>
    <row r="6" spans="1:11" x14ac:dyDescent="0.25">
      <c r="A6" s="72" t="s">
        <v>32</v>
      </c>
      <c r="B6" s="1"/>
      <c r="C6" s="4">
        <f>B6/D6</f>
        <v>0</v>
      </c>
      <c r="D6" s="4">
        <v>31</v>
      </c>
      <c r="E6" s="1">
        <v>4</v>
      </c>
      <c r="F6" s="61">
        <f>D6-E6</f>
        <v>27</v>
      </c>
      <c r="G6" s="86"/>
      <c r="H6" s="109">
        <f>C6*F6+G6</f>
        <v>0</v>
      </c>
      <c r="I6" s="120">
        <f t="shared" si="0"/>
        <v>0</v>
      </c>
      <c r="J6" s="119" t="s">
        <v>38</v>
      </c>
    </row>
    <row r="7" spans="1:11" x14ac:dyDescent="0.25">
      <c r="A7" s="71" t="s">
        <v>56</v>
      </c>
      <c r="C7" s="4">
        <f t="shared" ref="C7:C10" si="1">B7/D7</f>
        <v>0</v>
      </c>
      <c r="D7" s="4">
        <v>31</v>
      </c>
      <c r="E7" s="1">
        <v>4</v>
      </c>
      <c r="F7" s="61">
        <f t="shared" ref="F7:F10" si="2">D7-E7</f>
        <v>27</v>
      </c>
      <c r="G7" s="86"/>
      <c r="H7" s="109">
        <f t="shared" ref="H7:H9" si="3">C7*F7+G7</f>
        <v>0</v>
      </c>
      <c r="I7" s="120">
        <f t="shared" ref="I7:I11" si="4">G7+H7</f>
        <v>0</v>
      </c>
      <c r="J7" s="119" t="s">
        <v>60</v>
      </c>
    </row>
    <row r="8" spans="1:11" x14ac:dyDescent="0.25">
      <c r="A8" s="71" t="s">
        <v>57</v>
      </c>
      <c r="C8" s="4">
        <f t="shared" si="1"/>
        <v>0</v>
      </c>
      <c r="D8" s="4">
        <v>31</v>
      </c>
      <c r="E8" s="1">
        <v>4</v>
      </c>
      <c r="F8" s="61">
        <f t="shared" si="2"/>
        <v>27</v>
      </c>
      <c r="G8" s="86"/>
      <c r="H8" s="109">
        <f t="shared" si="3"/>
        <v>0</v>
      </c>
      <c r="I8" s="120">
        <f t="shared" si="4"/>
        <v>0</v>
      </c>
      <c r="J8" s="119" t="s">
        <v>61</v>
      </c>
    </row>
    <row r="9" spans="1:11" x14ac:dyDescent="0.25">
      <c r="A9" s="72" t="s">
        <v>58</v>
      </c>
      <c r="C9" s="4">
        <f t="shared" si="1"/>
        <v>0</v>
      </c>
      <c r="D9" s="4">
        <v>31</v>
      </c>
      <c r="E9" s="1">
        <v>4</v>
      </c>
      <c r="F9" s="61">
        <f t="shared" si="2"/>
        <v>27</v>
      </c>
      <c r="G9" s="86"/>
      <c r="H9" s="109">
        <f t="shared" si="3"/>
        <v>0</v>
      </c>
      <c r="I9" s="120">
        <f t="shared" si="4"/>
        <v>0</v>
      </c>
      <c r="J9" s="119" t="s">
        <v>62</v>
      </c>
    </row>
    <row r="10" spans="1:11" x14ac:dyDescent="0.25">
      <c r="A10" s="71" t="s">
        <v>42</v>
      </c>
      <c r="C10" s="4">
        <f t="shared" si="1"/>
        <v>0</v>
      </c>
      <c r="D10" s="4">
        <v>31</v>
      </c>
      <c r="E10" s="1">
        <v>3</v>
      </c>
      <c r="F10" s="61">
        <f t="shared" si="2"/>
        <v>28</v>
      </c>
      <c r="G10" s="86">
        <v>174</v>
      </c>
      <c r="H10" s="109">
        <f>C10*F10+G10</f>
        <v>174</v>
      </c>
      <c r="I10" s="120">
        <v>18240</v>
      </c>
      <c r="J10" s="119" t="s">
        <v>63</v>
      </c>
    </row>
    <row r="11" spans="1:11" x14ac:dyDescent="0.25">
      <c r="A11" s="71" t="s">
        <v>59</v>
      </c>
      <c r="H11" s="115"/>
      <c r="I11" s="133">
        <f t="shared" si="4"/>
        <v>0</v>
      </c>
    </row>
  </sheetData>
  <mergeCells count="1">
    <mergeCell ref="A2:J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AF06-445E-4462-A635-C8CA16C239D2}">
  <dimension ref="A1:I7"/>
  <sheetViews>
    <sheetView tabSelected="1" workbookViewId="0">
      <selection activeCell="E5" sqref="E5"/>
    </sheetView>
  </sheetViews>
  <sheetFormatPr defaultRowHeight="15" x14ac:dyDescent="0.25"/>
  <cols>
    <col min="4" max="4" width="9.42578125" bestFit="1" customWidth="1"/>
    <col min="7" max="7" width="16.5703125" bestFit="1" customWidth="1"/>
    <col min="8" max="8" width="14.140625" bestFit="1" customWidth="1"/>
    <col min="9" max="9" width="13.7109375" bestFit="1" customWidth="1"/>
  </cols>
  <sheetData>
    <row r="1" spans="1:9" ht="15.75" thickBot="1" x14ac:dyDescent="0.3">
      <c r="A1" s="151" t="s">
        <v>0</v>
      </c>
      <c r="B1" s="152"/>
      <c r="C1" s="152"/>
      <c r="D1" s="152"/>
      <c r="E1" s="152"/>
      <c r="F1" s="152"/>
      <c r="G1" s="153"/>
      <c r="H1" s="152"/>
      <c r="I1" s="154"/>
    </row>
    <row r="2" spans="1:9" ht="16.5" thickBot="1" x14ac:dyDescent="0.3">
      <c r="A2" s="78" t="s">
        <v>1</v>
      </c>
      <c r="B2" s="79" t="s">
        <v>2</v>
      </c>
      <c r="C2" s="79" t="s">
        <v>3</v>
      </c>
      <c r="D2" s="79" t="s">
        <v>4</v>
      </c>
      <c r="E2" s="79" t="s">
        <v>6</v>
      </c>
      <c r="F2" s="80" t="s">
        <v>5</v>
      </c>
      <c r="G2" s="89" t="s">
        <v>36</v>
      </c>
      <c r="H2" s="84" t="s">
        <v>7</v>
      </c>
      <c r="I2" s="121" t="s">
        <v>12</v>
      </c>
    </row>
    <row r="3" spans="1:9" ht="15.75" x14ac:dyDescent="0.25">
      <c r="A3" s="81" t="s">
        <v>33</v>
      </c>
      <c r="B3" s="82"/>
      <c r="C3" s="82"/>
      <c r="D3" s="82"/>
      <c r="E3" s="82"/>
      <c r="F3" s="83"/>
      <c r="G3" s="88"/>
      <c r="H3" s="85"/>
      <c r="I3" s="122"/>
    </row>
    <row r="4" spans="1:9" x14ac:dyDescent="0.25">
      <c r="A4" s="148" t="s">
        <v>69</v>
      </c>
      <c r="B4" s="1"/>
      <c r="C4" s="1">
        <f t="shared" ref="C4:C5" si="0">B4/D4</f>
        <v>0</v>
      </c>
      <c r="D4" s="1">
        <v>30</v>
      </c>
      <c r="E4" s="1">
        <v>25</v>
      </c>
      <c r="F4" s="1">
        <f t="shared" ref="F4:F5" si="1">D4-E4</f>
        <v>5</v>
      </c>
      <c r="G4" s="1"/>
      <c r="H4" s="146">
        <f>C4*F4+G4</f>
        <v>0</v>
      </c>
      <c r="I4" s="147" t="s">
        <v>72</v>
      </c>
    </row>
    <row r="5" spans="1:9" x14ac:dyDescent="0.25">
      <c r="A5" s="1" t="s">
        <v>70</v>
      </c>
      <c r="B5" s="1"/>
      <c r="C5" s="1">
        <f t="shared" si="0"/>
        <v>0</v>
      </c>
      <c r="D5" s="1">
        <v>31</v>
      </c>
      <c r="E5" s="1">
        <v>2</v>
      </c>
      <c r="F5" s="1">
        <f t="shared" si="1"/>
        <v>29</v>
      </c>
      <c r="G5" s="1"/>
      <c r="H5" s="1">
        <f>C5*F5+G5</f>
        <v>0</v>
      </c>
      <c r="I5" s="1" t="s">
        <v>98</v>
      </c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</sheetData>
  <mergeCells count="1">
    <mergeCell ref="A1:I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555B-0C0A-4F06-BB59-FF21CFDA0D10}">
  <dimension ref="A1:L14"/>
  <sheetViews>
    <sheetView workbookViewId="0">
      <selection activeCell="F10" sqref="F10"/>
    </sheetView>
  </sheetViews>
  <sheetFormatPr defaultRowHeight="15" x14ac:dyDescent="0.25"/>
  <cols>
    <col min="3" max="3" width="9.140625" bestFit="1" customWidth="1"/>
    <col min="4" max="4" width="12.140625" bestFit="1" customWidth="1"/>
    <col min="5" max="5" width="8.42578125" bestFit="1" customWidth="1"/>
    <col min="6" max="6" width="9.140625" bestFit="1" customWidth="1"/>
    <col min="7" max="7" width="16.42578125" bestFit="1" customWidth="1"/>
    <col min="8" max="8" width="17.42578125" customWidth="1"/>
    <col min="9" max="9" width="13.5703125" bestFit="1" customWidth="1"/>
    <col min="10" max="10" width="14.5703125" bestFit="1" customWidth="1"/>
    <col min="11" max="11" width="16.140625" bestFit="1" customWidth="1"/>
    <col min="12" max="12" width="13.42578125" bestFit="1" customWidth="1"/>
  </cols>
  <sheetData>
    <row r="1" spans="1:12" ht="19.5" thickBot="1" x14ac:dyDescent="0.35">
      <c r="A1" s="155" t="s">
        <v>37</v>
      </c>
      <c r="B1" s="156"/>
      <c r="C1" s="156"/>
      <c r="D1" s="156"/>
      <c r="E1" s="156"/>
      <c r="F1" s="156"/>
      <c r="G1" s="156"/>
      <c r="H1" s="156"/>
      <c r="I1" s="156"/>
      <c r="J1" s="156"/>
      <c r="K1" s="157"/>
    </row>
    <row r="2" spans="1:12" s="2" customFormat="1" ht="36.950000000000003" customHeight="1" thickBot="1" x14ac:dyDescent="0.3">
      <c r="A2" s="59" t="s">
        <v>1</v>
      </c>
      <c r="B2" s="60" t="s">
        <v>2</v>
      </c>
      <c r="C2" s="60" t="s">
        <v>3</v>
      </c>
      <c r="D2" s="60" t="s">
        <v>8</v>
      </c>
      <c r="E2" s="112" t="s">
        <v>6</v>
      </c>
      <c r="F2" s="114" t="s">
        <v>5</v>
      </c>
      <c r="G2" s="113" t="s">
        <v>7</v>
      </c>
      <c r="H2" s="127" t="s">
        <v>45</v>
      </c>
      <c r="I2" s="60" t="s">
        <v>9</v>
      </c>
      <c r="J2" s="112" t="s">
        <v>84</v>
      </c>
      <c r="K2" s="5" t="s">
        <v>12</v>
      </c>
    </row>
    <row r="3" spans="1:12" x14ac:dyDescent="0.25">
      <c r="A3" s="126">
        <v>45778</v>
      </c>
      <c r="B3" s="1">
        <v>18000</v>
      </c>
      <c r="C3" s="1">
        <f t="shared" ref="C3" si="0">B3/D3</f>
        <v>580.64516129032256</v>
      </c>
      <c r="D3" s="1">
        <v>31</v>
      </c>
      <c r="E3" s="1">
        <v>9</v>
      </c>
      <c r="F3" s="6">
        <f t="shared" ref="F3" si="1">D3-E3</f>
        <v>22</v>
      </c>
      <c r="G3" s="86">
        <f>F3*C3</f>
        <v>12774.193548387097</v>
      </c>
      <c r="H3" s="128"/>
      <c r="I3" s="62">
        <f>G3+H3</f>
        <v>12774.193548387097</v>
      </c>
      <c r="J3" s="135">
        <v>12775</v>
      </c>
      <c r="K3" s="123" t="s">
        <v>44</v>
      </c>
      <c r="L3" t="s">
        <v>46</v>
      </c>
    </row>
    <row r="4" spans="1:12" x14ac:dyDescent="0.25">
      <c r="A4" s="126">
        <v>45809</v>
      </c>
      <c r="B4" s="1">
        <v>18000</v>
      </c>
      <c r="C4" s="1">
        <f t="shared" ref="C4" si="2">B4/D4</f>
        <v>600</v>
      </c>
      <c r="D4" s="1">
        <v>30</v>
      </c>
      <c r="E4" s="1">
        <v>2</v>
      </c>
      <c r="F4" s="6">
        <f t="shared" ref="F4" si="3">D4-E4</f>
        <v>28</v>
      </c>
      <c r="G4" s="86">
        <f>F4*C4</f>
        <v>16800</v>
      </c>
      <c r="H4" s="128"/>
      <c r="I4" s="62">
        <f>G4+H4</f>
        <v>16800</v>
      </c>
      <c r="J4" s="135"/>
      <c r="K4" s="123" t="s">
        <v>72</v>
      </c>
    </row>
    <row r="5" spans="1:12" x14ac:dyDescent="0.25">
      <c r="A5" s="126">
        <v>45839</v>
      </c>
      <c r="B5" s="1">
        <v>18000</v>
      </c>
      <c r="C5" s="1">
        <f t="shared" ref="C5" si="4">B5/D5</f>
        <v>600</v>
      </c>
      <c r="D5" s="1">
        <v>30</v>
      </c>
      <c r="E5" s="1"/>
      <c r="F5" s="6">
        <f t="shared" ref="F5" si="5">D5-E5</f>
        <v>30</v>
      </c>
      <c r="G5" s="86">
        <f>F5*C5</f>
        <v>18000</v>
      </c>
      <c r="H5" s="128"/>
      <c r="I5" s="62">
        <f>G5+H5</f>
        <v>18000</v>
      </c>
      <c r="J5" s="135"/>
      <c r="K5" s="123" t="s">
        <v>97</v>
      </c>
    </row>
    <row r="6" spans="1:12" x14ac:dyDescent="0.25">
      <c r="A6" s="126">
        <v>45870</v>
      </c>
      <c r="B6" s="1">
        <v>18000</v>
      </c>
      <c r="C6" s="4"/>
      <c r="D6" s="4">
        <v>30</v>
      </c>
      <c r="E6" s="1"/>
      <c r="F6" s="4"/>
      <c r="G6" s="110"/>
      <c r="H6" s="1"/>
      <c r="I6" s="111"/>
      <c r="J6" s="111"/>
      <c r="K6" s="1"/>
      <c r="L6" s="115"/>
    </row>
    <row r="14" spans="1:12" ht="45.95" customHeight="1" x14ac:dyDescent="0.25"/>
  </sheetData>
  <mergeCells count="1">
    <mergeCell ref="A1:K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F903-F742-440B-A3CF-2E95F4A6DECE}">
  <dimension ref="A2:G76"/>
  <sheetViews>
    <sheetView topLeftCell="A7" workbookViewId="0">
      <selection activeCell="A63" sqref="A63:XFD69"/>
    </sheetView>
  </sheetViews>
  <sheetFormatPr defaultRowHeight="15" x14ac:dyDescent="0.25"/>
  <cols>
    <col min="1" max="1" width="9.42578125" style="2" bestFit="1" customWidth="1"/>
    <col min="2" max="2" width="23.85546875" style="44" customWidth="1"/>
    <col min="3" max="3" width="8.7109375" style="25"/>
    <col min="4" max="4" width="11.85546875" style="25" bestFit="1" customWidth="1"/>
    <col min="5" max="5" width="13.42578125" style="25" bestFit="1" customWidth="1"/>
    <col min="6" max="6" width="8.5703125" customWidth="1"/>
    <col min="7" max="7" width="12.28515625" customWidth="1"/>
  </cols>
  <sheetData>
    <row r="2" spans="1:6" ht="15.75" thickBot="1" x14ac:dyDescent="0.3">
      <c r="A2" s="158" t="s">
        <v>40</v>
      </c>
      <c r="B2" s="158"/>
      <c r="C2" s="158"/>
      <c r="D2" s="158"/>
      <c r="E2" s="158"/>
    </row>
    <row r="3" spans="1:6" s="30" customFormat="1" ht="16.5" thickBot="1" x14ac:dyDescent="0.3">
      <c r="A3" s="26" t="s">
        <v>24</v>
      </c>
      <c r="B3" s="27" t="s">
        <v>25</v>
      </c>
      <c r="C3" s="28" t="s">
        <v>26</v>
      </c>
      <c r="D3" s="28" t="s">
        <v>27</v>
      </c>
      <c r="E3" s="29" t="s">
        <v>18</v>
      </c>
    </row>
    <row r="4" spans="1:6" x14ac:dyDescent="0.25">
      <c r="A4" s="31"/>
      <c r="B4" s="32"/>
      <c r="C4" s="33"/>
      <c r="D4" s="33"/>
      <c r="E4" s="33"/>
    </row>
    <row r="5" spans="1:6" x14ac:dyDescent="0.25">
      <c r="A5" s="47"/>
      <c r="B5" s="34"/>
      <c r="C5" s="35"/>
      <c r="D5" s="35"/>
      <c r="E5" s="35"/>
    </row>
    <row r="6" spans="1:6" x14ac:dyDescent="0.25">
      <c r="A6" s="47"/>
      <c r="B6" s="34"/>
      <c r="C6" s="35"/>
      <c r="D6" s="35"/>
      <c r="E6" s="35"/>
    </row>
    <row r="7" spans="1:6" x14ac:dyDescent="0.25">
      <c r="A7" s="47"/>
      <c r="B7" s="34"/>
      <c r="C7" s="35"/>
      <c r="D7" s="35"/>
      <c r="E7" s="35"/>
    </row>
    <row r="8" spans="1:6" x14ac:dyDescent="0.25">
      <c r="A8" s="47"/>
      <c r="B8" s="34"/>
      <c r="C8" s="35"/>
      <c r="D8" s="35"/>
      <c r="E8" s="35"/>
    </row>
    <row r="9" spans="1:6" x14ac:dyDescent="0.25">
      <c r="A9" s="36"/>
      <c r="B9" s="34"/>
      <c r="C9" s="35"/>
      <c r="D9" s="35"/>
      <c r="E9" s="35"/>
    </row>
    <row r="10" spans="1:6" x14ac:dyDescent="0.25">
      <c r="A10" s="64"/>
      <c r="B10" s="34"/>
      <c r="C10" s="35"/>
      <c r="D10" s="35"/>
      <c r="E10" s="35"/>
    </row>
    <row r="11" spans="1:6" x14ac:dyDescent="0.25">
      <c r="A11" s="64"/>
      <c r="B11" s="34"/>
      <c r="C11" s="35"/>
      <c r="D11" s="35"/>
      <c r="E11" s="35"/>
    </row>
    <row r="12" spans="1:6" ht="15.75" thickBot="1" x14ac:dyDescent="0.3">
      <c r="A12" s="65"/>
      <c r="B12" s="37"/>
      <c r="C12" s="38"/>
      <c r="D12" s="38"/>
      <c r="E12" s="38"/>
    </row>
    <row r="13" spans="1:6" ht="15.75" thickBot="1" x14ac:dyDescent="0.3">
      <c r="A13" s="159" t="s">
        <v>28</v>
      </c>
      <c r="B13" s="160"/>
      <c r="C13" s="39">
        <f>SUM(C5:C12)</f>
        <v>0</v>
      </c>
      <c r="D13" s="40"/>
      <c r="E13" s="41"/>
    </row>
    <row r="14" spans="1:6" s="43" customFormat="1" ht="16.5" thickBot="1" x14ac:dyDescent="0.3">
      <c r="A14" s="161" t="s">
        <v>29</v>
      </c>
      <c r="B14" s="162"/>
      <c r="C14" s="162"/>
      <c r="D14" s="162"/>
      <c r="E14" s="42">
        <f>SUM(E5:E12)</f>
        <v>0</v>
      </c>
      <c r="F14" s="50"/>
    </row>
    <row r="15" spans="1:6" ht="15.75" thickBot="1" x14ac:dyDescent="0.3"/>
    <row r="16" spans="1:6" ht="15.75" thickBot="1" x14ac:dyDescent="0.3">
      <c r="A16" s="159"/>
      <c r="B16" s="163"/>
      <c r="C16" s="163"/>
      <c r="D16" s="163"/>
      <c r="E16" s="160"/>
    </row>
    <row r="17" spans="1:7" ht="16.5" thickBot="1" x14ac:dyDescent="0.3">
      <c r="A17" s="26" t="s">
        <v>24</v>
      </c>
      <c r="B17" s="27" t="s">
        <v>25</v>
      </c>
      <c r="C17" s="28" t="s">
        <v>26</v>
      </c>
      <c r="D17" s="28" t="s">
        <v>27</v>
      </c>
      <c r="E17" s="29" t="s">
        <v>18</v>
      </c>
    </row>
    <row r="18" spans="1:7" x14ac:dyDescent="0.25">
      <c r="A18" s="66"/>
      <c r="B18" s="32"/>
      <c r="C18" s="33"/>
      <c r="D18" s="33"/>
      <c r="E18" s="33"/>
    </row>
    <row r="19" spans="1:7" x14ac:dyDescent="0.25">
      <c r="A19" s="45"/>
      <c r="B19" s="34"/>
      <c r="C19" s="35"/>
      <c r="D19" s="35"/>
      <c r="E19" s="35"/>
    </row>
    <row r="20" spans="1:7" x14ac:dyDescent="0.25">
      <c r="A20" s="47"/>
      <c r="B20" s="34"/>
      <c r="C20" s="35"/>
      <c r="D20" s="35"/>
      <c r="E20" s="35"/>
    </row>
    <row r="21" spans="1:7" x14ac:dyDescent="0.25">
      <c r="A21" s="45"/>
      <c r="B21" s="34"/>
      <c r="C21" s="35"/>
      <c r="D21" s="35"/>
      <c r="E21" s="35"/>
    </row>
    <row r="22" spans="1:7" x14ac:dyDescent="0.25">
      <c r="A22" s="45"/>
      <c r="B22" s="34"/>
      <c r="C22" s="35"/>
      <c r="D22" s="35"/>
      <c r="E22" s="35"/>
    </row>
    <row r="23" spans="1:7" x14ac:dyDescent="0.25">
      <c r="A23" s="45"/>
      <c r="B23" s="34"/>
      <c r="C23" s="35"/>
      <c r="D23" s="35"/>
      <c r="E23" s="35"/>
    </row>
    <row r="24" spans="1:7" x14ac:dyDescent="0.25">
      <c r="A24" s="45"/>
      <c r="B24" s="34"/>
      <c r="C24" s="35"/>
      <c r="D24" s="35"/>
      <c r="E24" s="35"/>
    </row>
    <row r="25" spans="1:7" x14ac:dyDescent="0.25">
      <c r="A25" s="45"/>
      <c r="B25" s="34"/>
      <c r="C25" s="35"/>
      <c r="D25" s="35"/>
      <c r="E25" s="35"/>
    </row>
    <row r="26" spans="1:7" x14ac:dyDescent="0.25">
      <c r="A26" s="45"/>
      <c r="B26" s="34"/>
      <c r="C26" s="35"/>
      <c r="D26" s="35"/>
      <c r="E26" s="35"/>
    </row>
    <row r="27" spans="1:7" x14ac:dyDescent="0.25">
      <c r="A27" s="45"/>
      <c r="B27" s="34"/>
      <c r="C27" s="35"/>
      <c r="D27" s="35"/>
      <c r="E27" s="35"/>
    </row>
    <row r="28" spans="1:7" ht="15.75" thickBot="1" x14ac:dyDescent="0.3">
      <c r="A28" s="53"/>
      <c r="B28" s="48"/>
      <c r="C28" s="38"/>
      <c r="D28" s="38"/>
      <c r="E28" s="38"/>
    </row>
    <row r="29" spans="1:7" ht="15.75" thickBot="1" x14ac:dyDescent="0.3">
      <c r="A29" s="164" t="s">
        <v>9</v>
      </c>
      <c r="B29" s="165"/>
      <c r="C29" s="165"/>
      <c r="D29" s="165"/>
      <c r="E29" s="39">
        <f>SUM(E18:E28)</f>
        <v>0</v>
      </c>
      <c r="F29" s="49"/>
      <c r="G29" s="56"/>
    </row>
    <row r="31" spans="1:7" ht="15.75" thickBot="1" x14ac:dyDescent="0.3"/>
    <row r="32" spans="1:7" ht="15.75" thickBot="1" x14ac:dyDescent="0.3">
      <c r="A32" s="159"/>
      <c r="B32" s="163"/>
      <c r="C32" s="163"/>
      <c r="D32" s="163"/>
      <c r="E32" s="160"/>
    </row>
    <row r="33" spans="1:7" ht="16.5" thickBot="1" x14ac:dyDescent="0.3">
      <c r="A33" s="26" t="s">
        <v>24</v>
      </c>
      <c r="B33" s="27" t="s">
        <v>25</v>
      </c>
      <c r="C33" s="28" t="s">
        <v>26</v>
      </c>
      <c r="D33" s="28" t="s">
        <v>27</v>
      </c>
      <c r="E33" s="29" t="s">
        <v>18</v>
      </c>
    </row>
    <row r="34" spans="1:7" x14ac:dyDescent="0.25">
      <c r="A34" s="66"/>
      <c r="B34" s="32"/>
      <c r="C34" s="33"/>
      <c r="D34" s="33"/>
      <c r="E34" s="33"/>
    </row>
    <row r="35" spans="1:7" x14ac:dyDescent="0.25">
      <c r="A35" s="66"/>
      <c r="B35" s="32"/>
      <c r="C35" s="35"/>
      <c r="D35" s="35"/>
      <c r="E35" s="33"/>
    </row>
    <row r="36" spans="1:7" x14ac:dyDescent="0.25">
      <c r="A36" s="45"/>
      <c r="B36" s="32"/>
      <c r="C36" s="35"/>
      <c r="D36" s="35"/>
      <c r="E36" s="33"/>
    </row>
    <row r="37" spans="1:7" x14ac:dyDescent="0.25">
      <c r="A37" s="45"/>
      <c r="B37" s="32"/>
      <c r="C37" s="35"/>
      <c r="D37" s="35"/>
      <c r="E37" s="33"/>
    </row>
    <row r="38" spans="1:7" x14ac:dyDescent="0.25">
      <c r="A38" s="45"/>
      <c r="B38" s="34"/>
      <c r="C38" s="35"/>
      <c r="D38" s="35"/>
      <c r="E38" s="33"/>
    </row>
    <row r="39" spans="1:7" x14ac:dyDescent="0.25">
      <c r="A39" s="45"/>
      <c r="B39" s="34"/>
      <c r="C39" s="35"/>
      <c r="D39" s="35"/>
      <c r="E39" s="33"/>
    </row>
    <row r="40" spans="1:7" x14ac:dyDescent="0.25">
      <c r="A40" s="45"/>
      <c r="B40" s="34"/>
      <c r="C40" s="35"/>
      <c r="D40" s="35"/>
      <c r="E40" s="33"/>
    </row>
    <row r="41" spans="1:7" ht="15.75" thickBot="1" x14ac:dyDescent="0.3">
      <c r="A41" s="53"/>
      <c r="B41" s="54"/>
      <c r="C41" s="55"/>
      <c r="D41" s="55"/>
      <c r="E41" s="52"/>
    </row>
    <row r="42" spans="1:7" ht="15.75" thickBot="1" x14ac:dyDescent="0.3">
      <c r="A42" s="164" t="s">
        <v>9</v>
      </c>
      <c r="B42" s="165"/>
      <c r="C42" s="165"/>
      <c r="D42" s="165"/>
      <c r="E42" s="39">
        <f>SUM(E34:E41)</f>
        <v>0</v>
      </c>
      <c r="F42" s="49"/>
      <c r="G42" s="56"/>
    </row>
    <row r="43" spans="1:7" ht="15.75" thickBot="1" x14ac:dyDescent="0.3">
      <c r="A43" s="67"/>
      <c r="B43" s="58"/>
      <c r="C43" s="57"/>
      <c r="D43" s="57"/>
      <c r="E43" s="57"/>
    </row>
    <row r="44" spans="1:7" ht="15.75" thickBot="1" x14ac:dyDescent="0.3">
      <c r="A44" s="159"/>
      <c r="B44" s="163"/>
      <c r="C44" s="163"/>
      <c r="D44" s="163"/>
      <c r="E44" s="160"/>
    </row>
    <row r="45" spans="1:7" ht="16.5" thickBot="1" x14ac:dyDescent="0.3">
      <c r="A45" s="26" t="s">
        <v>24</v>
      </c>
      <c r="B45" s="27" t="s">
        <v>25</v>
      </c>
      <c r="C45" s="28" t="s">
        <v>26</v>
      </c>
      <c r="D45" s="28" t="s">
        <v>27</v>
      </c>
      <c r="E45" s="29" t="s">
        <v>18</v>
      </c>
    </row>
    <row r="46" spans="1:7" x14ac:dyDescent="0.25">
      <c r="A46" s="45"/>
      <c r="B46" s="34"/>
      <c r="C46" s="35"/>
      <c r="D46" s="35"/>
      <c r="E46" s="33"/>
    </row>
    <row r="47" spans="1:7" s="25" customFormat="1" x14ac:dyDescent="0.25">
      <c r="A47" s="45"/>
      <c r="B47" s="68"/>
      <c r="C47" s="35"/>
      <c r="D47" s="35"/>
      <c r="E47" s="33"/>
    </row>
    <row r="48" spans="1:7" x14ac:dyDescent="0.25">
      <c r="A48" s="45"/>
      <c r="B48" s="34"/>
      <c r="C48" s="35"/>
      <c r="D48" s="35"/>
      <c r="E48" s="33"/>
    </row>
    <row r="49" spans="1:7" x14ac:dyDescent="0.25">
      <c r="A49" s="45"/>
      <c r="B49" s="34"/>
      <c r="C49" s="35"/>
      <c r="D49" s="35"/>
      <c r="E49" s="33"/>
    </row>
    <row r="50" spans="1:7" x14ac:dyDescent="0.25">
      <c r="A50" s="45"/>
      <c r="B50" s="34"/>
      <c r="C50" s="35"/>
      <c r="D50" s="35"/>
      <c r="E50" s="33"/>
    </row>
    <row r="51" spans="1:7" s="43" customFormat="1" ht="20.45" customHeight="1" x14ac:dyDescent="0.25">
      <c r="A51" s="45"/>
      <c r="B51" s="46"/>
      <c r="C51" s="47"/>
      <c r="D51" s="47"/>
      <c r="E51" s="69"/>
    </row>
    <row r="52" spans="1:7" x14ac:dyDescent="0.25">
      <c r="A52" s="45"/>
      <c r="B52" s="34"/>
      <c r="C52" s="35"/>
      <c r="D52" s="35"/>
      <c r="E52" s="33"/>
    </row>
    <row r="53" spans="1:7" x14ac:dyDescent="0.25">
      <c r="A53" s="45"/>
      <c r="B53" s="34"/>
      <c r="D53" s="35"/>
      <c r="E53" s="33"/>
    </row>
    <row r="54" spans="1:7" ht="15.75" thickBot="1" x14ac:dyDescent="0.3">
      <c r="A54" s="45"/>
      <c r="B54" s="34"/>
      <c r="C54" s="35"/>
      <c r="D54" s="35"/>
      <c r="E54" s="33"/>
    </row>
    <row r="55" spans="1:7" ht="15.75" thickBot="1" x14ac:dyDescent="0.3">
      <c r="A55" s="164" t="s">
        <v>9</v>
      </c>
      <c r="B55" s="165"/>
      <c r="C55" s="165"/>
      <c r="D55" s="165"/>
      <c r="E55" s="39">
        <f>SUM(E46:E54)</f>
        <v>0</v>
      </c>
      <c r="F55" s="49"/>
      <c r="G55" s="56"/>
    </row>
    <row r="56" spans="1:7" ht="15.75" thickBot="1" x14ac:dyDescent="0.3"/>
    <row r="57" spans="1:7" ht="16.5" thickBot="1" x14ac:dyDescent="0.3">
      <c r="A57" s="26" t="s">
        <v>24</v>
      </c>
      <c r="B57" s="27" t="s">
        <v>25</v>
      </c>
      <c r="C57" s="28" t="s">
        <v>26</v>
      </c>
      <c r="D57" s="28" t="s">
        <v>27</v>
      </c>
      <c r="E57" s="29" t="s">
        <v>18</v>
      </c>
    </row>
    <row r="58" spans="1:7" x14ac:dyDescent="0.25">
      <c r="A58" s="45"/>
      <c r="B58" s="34"/>
      <c r="C58" s="35"/>
      <c r="D58" s="35"/>
      <c r="E58" s="33"/>
    </row>
    <row r="59" spans="1:7" x14ac:dyDescent="0.25">
      <c r="A59" s="45"/>
      <c r="B59" s="68"/>
      <c r="C59" s="35"/>
      <c r="D59" s="35"/>
      <c r="E59" s="33"/>
    </row>
    <row r="60" spans="1:7" x14ac:dyDescent="0.25">
      <c r="A60" s="45"/>
      <c r="B60" s="34"/>
      <c r="C60" s="35"/>
      <c r="D60" s="35"/>
      <c r="E60" s="33"/>
    </row>
    <row r="61" spans="1:7" x14ac:dyDescent="0.25">
      <c r="A61" s="45"/>
      <c r="B61" s="34"/>
      <c r="C61" s="35"/>
      <c r="D61" s="35"/>
      <c r="E61" s="33"/>
    </row>
    <row r="62" spans="1:7" x14ac:dyDescent="0.25">
      <c r="A62" s="45"/>
      <c r="B62" s="34"/>
      <c r="C62" s="35"/>
      <c r="D62" s="35"/>
      <c r="E62" s="33"/>
    </row>
    <row r="63" spans="1:7" x14ac:dyDescent="0.25">
      <c r="A63" s="45"/>
      <c r="B63" s="34"/>
      <c r="C63" s="35"/>
      <c r="D63" s="35"/>
      <c r="E63" s="33"/>
    </row>
    <row r="64" spans="1:7" s="3" customFormat="1" x14ac:dyDescent="0.25">
      <c r="A64" s="95"/>
      <c r="B64" s="91"/>
      <c r="C64" s="93"/>
      <c r="D64" s="92"/>
      <c r="E64" s="93"/>
      <c r="F64" s="97"/>
    </row>
    <row r="65" spans="1:7" s="3" customFormat="1" ht="15.75" thickBot="1" x14ac:dyDescent="0.3">
      <c r="A65" s="94"/>
      <c r="B65" s="91"/>
      <c r="C65" s="92"/>
      <c r="D65" s="92"/>
      <c r="E65" s="93"/>
      <c r="F65" s="98"/>
    </row>
    <row r="66" spans="1:7" ht="15.75" thickBot="1" x14ac:dyDescent="0.3">
      <c r="A66" s="164" t="s">
        <v>9</v>
      </c>
      <c r="B66" s="165"/>
      <c r="C66" s="165"/>
      <c r="D66" s="165"/>
      <c r="E66" s="39">
        <f>SUM(E58:E65)</f>
        <v>0</v>
      </c>
      <c r="F66" s="49"/>
      <c r="G66" s="99"/>
    </row>
    <row r="67" spans="1:7" ht="15.75" thickBot="1" x14ac:dyDescent="0.3"/>
    <row r="68" spans="1:7" ht="16.5" thickBot="1" x14ac:dyDescent="0.3">
      <c r="A68" s="26" t="s">
        <v>24</v>
      </c>
      <c r="B68" s="27" t="s">
        <v>25</v>
      </c>
      <c r="C68" s="28" t="s">
        <v>26</v>
      </c>
      <c r="D68" s="28" t="s">
        <v>27</v>
      </c>
      <c r="E68" s="29" t="s">
        <v>18</v>
      </c>
    </row>
    <row r="69" spans="1:7" x14ac:dyDescent="0.25">
      <c r="A69" s="96"/>
      <c r="B69" s="34"/>
      <c r="C69" s="90"/>
      <c r="D69" s="35"/>
      <c r="E69" s="93"/>
    </row>
    <row r="70" spans="1:7" x14ac:dyDescent="0.25">
      <c r="A70" s="45"/>
      <c r="B70" s="34"/>
      <c r="C70" s="33"/>
      <c r="D70" s="35"/>
      <c r="E70" s="93"/>
    </row>
    <row r="71" spans="1:7" ht="15.75" thickBot="1" x14ac:dyDescent="0.3">
      <c r="A71" s="45"/>
      <c r="B71" s="34"/>
      <c r="C71" s="33"/>
      <c r="D71" s="35"/>
      <c r="E71" s="93"/>
    </row>
    <row r="72" spans="1:7" ht="15.75" thickBot="1" x14ac:dyDescent="0.3">
      <c r="A72" s="164" t="s">
        <v>9</v>
      </c>
      <c r="B72" s="165"/>
      <c r="C72" s="165"/>
      <c r="D72" s="165"/>
      <c r="E72" s="39">
        <f>SUM(E69:E71)</f>
        <v>0</v>
      </c>
    </row>
    <row r="74" spans="1:7" x14ac:dyDescent="0.25">
      <c r="E74" s="33"/>
    </row>
    <row r="75" spans="1:7" x14ac:dyDescent="0.25">
      <c r="E75" s="33"/>
    </row>
    <row r="76" spans="1:7" x14ac:dyDescent="0.25">
      <c r="E76" s="33"/>
    </row>
  </sheetData>
  <mergeCells count="11">
    <mergeCell ref="A72:D72"/>
    <mergeCell ref="A66:D66"/>
    <mergeCell ref="A32:E32"/>
    <mergeCell ref="A55:D55"/>
    <mergeCell ref="A44:E44"/>
    <mergeCell ref="A42:D42"/>
    <mergeCell ref="A2:E2"/>
    <mergeCell ref="A13:B13"/>
    <mergeCell ref="A14:D14"/>
    <mergeCell ref="A16:E16"/>
    <mergeCell ref="A29:D2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783F-18D4-4C32-80D9-7A8B93B78E0F}">
  <dimension ref="A2:G19"/>
  <sheetViews>
    <sheetView workbookViewId="0">
      <selection activeCell="E16" sqref="E16"/>
    </sheetView>
  </sheetViews>
  <sheetFormatPr defaultRowHeight="15" x14ac:dyDescent="0.25"/>
  <cols>
    <col min="1" max="1" width="9.7109375" bestFit="1" customWidth="1"/>
    <col min="2" max="2" width="13.5703125" customWidth="1"/>
    <col min="3" max="3" width="11.5703125" customWidth="1"/>
    <col min="4" max="4" width="11.85546875" bestFit="1" customWidth="1"/>
    <col min="5" max="5" width="13.42578125" bestFit="1" customWidth="1"/>
    <col min="6" max="6" width="9.42578125" bestFit="1" customWidth="1"/>
    <col min="7" max="7" width="9.140625" customWidth="1"/>
  </cols>
  <sheetData>
    <row r="2" spans="1:7" ht="15.75" thickBot="1" x14ac:dyDescent="0.3">
      <c r="A2" s="158" t="s">
        <v>40</v>
      </c>
      <c r="B2" s="158"/>
      <c r="C2" s="158"/>
      <c r="D2" s="158"/>
      <c r="E2" s="158"/>
    </row>
    <row r="3" spans="1:7" ht="16.5" thickBot="1" x14ac:dyDescent="0.3">
      <c r="A3" s="26" t="s">
        <v>24</v>
      </c>
      <c r="B3" s="27" t="s">
        <v>25</v>
      </c>
      <c r="C3" s="28" t="s">
        <v>49</v>
      </c>
      <c r="D3" s="28" t="s">
        <v>48</v>
      </c>
      <c r="E3" s="129" t="s">
        <v>18</v>
      </c>
      <c r="F3" s="129" t="s">
        <v>51</v>
      </c>
      <c r="G3" s="132" t="s">
        <v>53</v>
      </c>
    </row>
    <row r="4" spans="1:7" ht="30" x14ac:dyDescent="0.25">
      <c r="A4" s="31">
        <v>45796</v>
      </c>
      <c r="B4" s="32" t="s">
        <v>47</v>
      </c>
      <c r="C4" s="33">
        <v>1</v>
      </c>
      <c r="D4" s="33">
        <v>660</v>
      </c>
      <c r="E4" s="130">
        <f>D4*C4</f>
        <v>660</v>
      </c>
      <c r="F4" s="1"/>
      <c r="G4" s="1"/>
    </row>
    <row r="5" spans="1:7" ht="15.75" thickBot="1" x14ac:dyDescent="0.3">
      <c r="A5" s="45">
        <v>45797</v>
      </c>
      <c r="B5" s="34" t="s">
        <v>50</v>
      </c>
      <c r="C5" s="35">
        <v>1</v>
      </c>
      <c r="D5" s="35">
        <v>30</v>
      </c>
      <c r="E5" s="130">
        <f t="shared" ref="E5" si="0">D5*C5</f>
        <v>30</v>
      </c>
      <c r="F5" s="1"/>
      <c r="G5" s="1"/>
    </row>
    <row r="6" spans="1:7" ht="16.5" thickBot="1" x14ac:dyDescent="0.3">
      <c r="A6" s="161" t="s">
        <v>29</v>
      </c>
      <c r="B6" s="162"/>
      <c r="C6" s="162"/>
      <c r="D6" s="162"/>
      <c r="E6" s="131">
        <f>SUM(E4:E5)</f>
        <v>690</v>
      </c>
      <c r="F6" s="1" t="s">
        <v>52</v>
      </c>
      <c r="G6" s="1" t="s">
        <v>54</v>
      </c>
    </row>
    <row r="8" spans="1:7" ht="15.75" thickBot="1" x14ac:dyDescent="0.3">
      <c r="A8" s="158" t="s">
        <v>40</v>
      </c>
      <c r="B8" s="158"/>
      <c r="C8" s="158"/>
      <c r="D8" s="158"/>
      <c r="E8" s="158"/>
    </row>
    <row r="9" spans="1:7" ht="16.5" thickBot="1" x14ac:dyDescent="0.3">
      <c r="A9" s="26" t="s">
        <v>24</v>
      </c>
      <c r="B9" s="27" t="s">
        <v>25</v>
      </c>
      <c r="C9" s="28" t="s">
        <v>49</v>
      </c>
      <c r="D9" s="28" t="s">
        <v>48</v>
      </c>
      <c r="E9" s="129" t="s">
        <v>18</v>
      </c>
      <c r="F9" s="129" t="s">
        <v>51</v>
      </c>
      <c r="G9" s="132" t="s">
        <v>53</v>
      </c>
    </row>
    <row r="10" spans="1:7" x14ac:dyDescent="0.25">
      <c r="A10" s="31"/>
      <c r="B10" s="32" t="s">
        <v>67</v>
      </c>
      <c r="C10" s="33">
        <v>1</v>
      </c>
      <c r="D10" s="33">
        <v>60</v>
      </c>
      <c r="E10" s="130">
        <f>D10*C10</f>
        <v>60</v>
      </c>
      <c r="F10" s="1"/>
      <c r="G10" s="1"/>
    </row>
    <row r="11" spans="1:7" x14ac:dyDescent="0.25">
      <c r="A11" s="31">
        <v>45840</v>
      </c>
      <c r="B11" s="32" t="s">
        <v>67</v>
      </c>
      <c r="C11" s="33">
        <v>1</v>
      </c>
      <c r="D11" s="33">
        <v>10</v>
      </c>
      <c r="E11" s="130">
        <f t="shared" ref="E11:E12" si="1">D11*C11</f>
        <v>10</v>
      </c>
      <c r="F11" s="1"/>
      <c r="G11" s="1"/>
    </row>
    <row r="12" spans="1:7" ht="15.75" thickBot="1" x14ac:dyDescent="0.3">
      <c r="A12" s="45"/>
      <c r="B12" s="34" t="s">
        <v>68</v>
      </c>
      <c r="C12" s="35">
        <v>1</v>
      </c>
      <c r="D12" s="35">
        <v>30</v>
      </c>
      <c r="E12" s="130">
        <f t="shared" si="1"/>
        <v>30</v>
      </c>
      <c r="F12" s="1"/>
      <c r="G12" s="1"/>
    </row>
    <row r="13" spans="1:7" ht="16.5" thickBot="1" x14ac:dyDescent="0.3">
      <c r="A13" s="161" t="s">
        <v>29</v>
      </c>
      <c r="B13" s="162"/>
      <c r="C13" s="162"/>
      <c r="D13" s="162"/>
      <c r="E13" s="131">
        <f>SUM(E10:E12)</f>
        <v>100</v>
      </c>
      <c r="F13" s="1" t="s">
        <v>72</v>
      </c>
      <c r="G13" s="1" t="s">
        <v>85</v>
      </c>
    </row>
    <row r="14" spans="1:7" ht="15.75" thickBot="1" x14ac:dyDescent="0.3"/>
    <row r="15" spans="1:7" ht="15.75" x14ac:dyDescent="0.25">
      <c r="A15" s="138" t="s">
        <v>24</v>
      </c>
      <c r="B15" s="139" t="s">
        <v>25</v>
      </c>
      <c r="C15" s="140" t="s">
        <v>49</v>
      </c>
      <c r="D15" s="140" t="s">
        <v>48</v>
      </c>
      <c r="E15" s="141" t="s">
        <v>18</v>
      </c>
      <c r="F15" s="141" t="s">
        <v>51</v>
      </c>
      <c r="G15" s="142" t="s">
        <v>53</v>
      </c>
    </row>
    <row r="16" spans="1:7" x14ac:dyDescent="0.25">
      <c r="A16" s="145"/>
      <c r="B16" s="34" t="s">
        <v>96</v>
      </c>
      <c r="C16" s="35">
        <v>1</v>
      </c>
      <c r="D16" s="35">
        <v>200</v>
      </c>
      <c r="E16" s="35">
        <v>100</v>
      </c>
      <c r="F16" s="1"/>
      <c r="G16" s="1"/>
    </row>
    <row r="17" spans="1:7" x14ac:dyDescent="0.25">
      <c r="A17" s="145"/>
      <c r="B17" s="34"/>
      <c r="C17" s="35"/>
      <c r="D17" s="35"/>
      <c r="E17" s="35"/>
      <c r="F17" s="1"/>
      <c r="G17" s="1"/>
    </row>
    <row r="18" spans="1:7" x14ac:dyDescent="0.25">
      <c r="A18" s="45"/>
      <c r="B18" s="34"/>
      <c r="C18" s="35"/>
      <c r="D18" s="35"/>
      <c r="E18" s="35"/>
      <c r="F18" s="1"/>
      <c r="G18" s="1"/>
    </row>
    <row r="19" spans="1:7" ht="16.5" thickBot="1" x14ac:dyDescent="0.3">
      <c r="A19" s="166" t="s">
        <v>29</v>
      </c>
      <c r="B19" s="167"/>
      <c r="C19" s="167"/>
      <c r="D19" s="167"/>
      <c r="E19" s="143">
        <f>SUM(E16:E18)</f>
        <v>100</v>
      </c>
      <c r="F19" s="144" t="s">
        <v>72</v>
      </c>
      <c r="G19" s="144" t="s">
        <v>85</v>
      </c>
    </row>
  </sheetData>
  <mergeCells count="5">
    <mergeCell ref="A2:E2"/>
    <mergeCell ref="A6:D6"/>
    <mergeCell ref="A8:E8"/>
    <mergeCell ref="A13:D13"/>
    <mergeCell ref="A19:D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034E-D51F-4BE1-8FFE-2A376990EBB8}">
  <dimension ref="A1:M13"/>
  <sheetViews>
    <sheetView workbookViewId="0">
      <selection activeCell="B6" sqref="B6"/>
    </sheetView>
  </sheetViews>
  <sheetFormatPr defaultRowHeight="15" x14ac:dyDescent="0.25"/>
  <cols>
    <col min="9" max="9" width="9.4257812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5</v>
      </c>
      <c r="G1" t="s">
        <v>36</v>
      </c>
      <c r="H1" t="s">
        <v>7</v>
      </c>
      <c r="I1" t="s">
        <v>12</v>
      </c>
    </row>
    <row r="2" spans="1:13" x14ac:dyDescent="0.25">
      <c r="A2" t="s">
        <v>33</v>
      </c>
      <c r="H2" s="137" t="s">
        <v>75</v>
      </c>
      <c r="K2" s="137" t="s">
        <v>73</v>
      </c>
    </row>
    <row r="3" spans="1:13" x14ac:dyDescent="0.25">
      <c r="A3" t="s">
        <v>42</v>
      </c>
      <c r="B3">
        <v>1800</v>
      </c>
      <c r="C3">
        <f t="shared" ref="C3:C4" si="0">B3/D3</f>
        <v>58.064516129032256</v>
      </c>
      <c r="D3">
        <v>31</v>
      </c>
      <c r="E3">
        <v>11</v>
      </c>
      <c r="F3">
        <f>D3-E3</f>
        <v>20</v>
      </c>
      <c r="H3" s="137">
        <f>C3*F3+G3</f>
        <v>1161.2903225806451</v>
      </c>
      <c r="I3" s="136">
        <v>45906</v>
      </c>
      <c r="K3" s="137">
        <f>B3-H3</f>
        <v>638.70967741935488</v>
      </c>
      <c r="L3">
        <v>1800</v>
      </c>
      <c r="M3" t="s">
        <v>74</v>
      </c>
    </row>
    <row r="4" spans="1:13" x14ac:dyDescent="0.25">
      <c r="A4" t="s">
        <v>69</v>
      </c>
      <c r="B4">
        <v>1800</v>
      </c>
      <c r="C4">
        <f t="shared" si="0"/>
        <v>60</v>
      </c>
      <c r="D4">
        <v>30</v>
      </c>
      <c r="F4">
        <f t="shared" ref="F4" si="1">D4-E4</f>
        <v>30</v>
      </c>
      <c r="H4">
        <f>C4*F4+G4</f>
        <v>1800</v>
      </c>
      <c r="I4" s="136">
        <v>45998</v>
      </c>
    </row>
    <row r="5" spans="1:13" x14ac:dyDescent="0.25">
      <c r="A5" t="s">
        <v>70</v>
      </c>
    </row>
    <row r="6" spans="1:13" x14ac:dyDescent="0.25">
      <c r="A6" t="s">
        <v>76</v>
      </c>
    </row>
    <row r="7" spans="1:13" x14ac:dyDescent="0.25">
      <c r="A7" t="s">
        <v>77</v>
      </c>
    </row>
    <row r="8" spans="1:13" x14ac:dyDescent="0.25">
      <c r="A8" t="s">
        <v>78</v>
      </c>
    </row>
    <row r="9" spans="1:13" x14ac:dyDescent="0.25">
      <c r="A9" t="s">
        <v>79</v>
      </c>
    </row>
    <row r="10" spans="1:13" x14ac:dyDescent="0.25">
      <c r="A10" t="s">
        <v>80</v>
      </c>
    </row>
    <row r="11" spans="1:13" x14ac:dyDescent="0.25">
      <c r="A11" t="s">
        <v>81</v>
      </c>
    </row>
    <row r="12" spans="1:13" x14ac:dyDescent="0.25">
      <c r="A12" t="s">
        <v>82</v>
      </c>
    </row>
    <row r="13" spans="1:13" x14ac:dyDescent="0.25">
      <c r="A13" t="s">
        <v>83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 Payments</vt:lpstr>
      <vt:lpstr>Nutan</vt:lpstr>
      <vt:lpstr>nj2</vt:lpstr>
      <vt:lpstr>Pritika</vt:lpstr>
      <vt:lpstr>Driver</vt:lpstr>
      <vt:lpstr> Fuel Charges</vt:lpstr>
      <vt:lpstr>Dabojit expenses</vt:lpstr>
      <vt:lpstr>Sweeper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Administrator</cp:lastModifiedBy>
  <dcterms:created xsi:type="dcterms:W3CDTF">2024-11-18T08:48:02Z</dcterms:created>
  <dcterms:modified xsi:type="dcterms:W3CDTF">2025-08-13T10:22:00Z</dcterms:modified>
</cp:coreProperties>
</file>