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COMPAIR\"/>
    </mc:Choice>
  </mc:AlternateContent>
  <xr:revisionPtr revIDLastSave="0" documentId="13_ncr:1_{20434E8B-4090-43DE-9317-51E17156B619}" xr6:coauthVersionLast="47" xr6:coauthVersionMax="47" xr10:uidLastSave="{00000000-0000-0000-0000-000000000000}"/>
  <bookViews>
    <workbookView xWindow="-110" yWindow="-110" windowWidth="19420" windowHeight="10420" xr2:uid="{E0124CE6-4D00-43CB-9E20-CAED116DF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H33" i="1"/>
  <c r="H34" i="1"/>
  <c r="G34" i="1"/>
  <c r="F34" i="1"/>
  <c r="H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<sst xmlns="http://schemas.openxmlformats.org/spreadsheetml/2006/main" count="75" uniqueCount="38">
  <si>
    <t>Arhat Rate</t>
  </si>
  <si>
    <t>ENDO Rate</t>
  </si>
  <si>
    <t>SN</t>
  </si>
  <si>
    <t>Description</t>
  </si>
  <si>
    <t>HSN/SAC</t>
  </si>
  <si>
    <t>Qty</t>
  </si>
  <si>
    <t>UOM</t>
  </si>
  <si>
    <t>Payment: 100% Advance</t>
  </si>
  <si>
    <t>Total Invoice Value</t>
  </si>
  <si>
    <t>41,85,446.00</t>
  </si>
  <si>
    <t>TSUKI-R-1714-10W/Mtr</t>
  </si>
  <si>
    <t>no</t>
  </si>
  <si>
    <t>Driver</t>
  </si>
  <si>
    <t>TSUKI-NF-DB-16X16-NS-130- 14W-IP67</t>
  </si>
  <si>
    <t>TSUKI-R-1818-10W/Mtr</t>
  </si>
  <si>
    <t>TSUKI-S-1714-5W/Mtr (IP65)</t>
  </si>
  <si>
    <t>TSUKI-NF-DB-16X16-NS-130- 9W-IP67</t>
  </si>
  <si>
    <t>GERD8901W-T</t>
  </si>
  <si>
    <t>ELUIR1-70-0630-KN</t>
  </si>
  <si>
    <t>XR-CMT410</t>
  </si>
  <si>
    <t>FL-24G-GRILLE LINEAR-24W</t>
  </si>
  <si>
    <t>GERS7092BA-T</t>
  </si>
  <si>
    <t>GERD9898W-T</t>
  </si>
  <si>
    <t>GERD9869W-T</t>
  </si>
  <si>
    <t>GSTDA1800W-AMH30</t>
  </si>
  <si>
    <t>GSTDA1800W-AWH30</t>
  </si>
  <si>
    <t>GERD8849W-T</t>
  </si>
  <si>
    <t>GERD8127WA-T</t>
  </si>
  <si>
    <t>GERD8202WB-T</t>
  </si>
  <si>
    <t>GERD8604W-T</t>
  </si>
  <si>
    <t>GERS6922H-T</t>
  </si>
  <si>
    <t>GERS7306H-T +GRB898N</t>
  </si>
  <si>
    <t>EWLR2-300-1030-K</t>
  </si>
  <si>
    <t>ELFR5-255-0630-K</t>
  </si>
  <si>
    <t>ELFR2-72-0330-K</t>
  </si>
  <si>
    <t>Total</t>
  </si>
  <si>
    <t>Rate difference/Arhat*100</t>
  </si>
  <si>
    <t>Rate Difference:              ENDO Rate-Arhat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</si>
</sst>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Font="1"/>
    <xf numFmtId="0" fontId="1" fillId="0" borderId="0" xfId="0" applyFont="1"/>
    <xf numFmtId="1" fontId="5" fillId="0" borderId="1" xfId="1" applyNumberFormat="1" applyFont="1" applyFill="1" applyBorder="1" applyAlignment="1">
      <alignment horizontal="center" vertical="top" shrinkToFit="1"/>
    </xf>
    <xf numFmtId="0" fontId="6" fillId="0" borderId="1" xfId="1" applyFont="1" applyFill="1" applyBorder="1" applyAlignment="1">
      <alignment horizontal="center" vertical="top"/>
    </xf>
    <xf numFmtId="0" fontId="5" fillId="0" borderId="1" xfId="1" applyFont="1" applyFill="1" applyBorder="1" applyAlignment="1">
      <alignment horizontal="left"/>
    </xf>
    <xf numFmtId="2" fontId="5" fillId="0" borderId="1" xfId="1" applyNumberFormat="1" applyFont="1" applyFill="1" applyBorder="1" applyAlignment="1">
      <alignment horizontal="right" vertical="top" shrinkToFit="1"/>
    </xf>
    <xf numFmtId="3" fontId="5" fillId="0" borderId="1" xfId="1" applyNumberFormat="1" applyFont="1" applyFill="1" applyBorder="1" applyAlignment="1">
      <alignment horizontal="right" vertical="top" shrinkToFit="1"/>
    </xf>
    <xf numFmtId="0" fontId="1" fillId="0" borderId="1" xfId="0" applyFont="1" applyBorder="1"/>
    <xf numFmtId="0" fontId="5" fillId="0" borderId="1" xfId="1" applyFont="1" applyFill="1" applyBorder="1" applyAlignment="1">
      <alignment horizontal="left" vertical="top"/>
    </xf>
    <xf numFmtId="0" fontId="4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top"/>
    </xf>
    <xf numFmtId="0" fontId="4" fillId="0" borderId="1" xfId="1" applyFont="1" applyFill="1" applyBorder="1" applyAlignment="1">
      <alignment horizontal="center" vertical="top"/>
    </xf>
    <xf numFmtId="0" fontId="4" fillId="0" borderId="1" xfId="1" applyFont="1" applyFill="1" applyBorder="1" applyAlignment="1">
      <alignment horizontal="center" vertical="top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7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left"/>
    </xf>
    <xf numFmtId="1" fontId="1" fillId="0" borderId="1" xfId="0" applyNumberFormat="1" applyFont="1" applyBorder="1"/>
  </cellXfs>
  <cellStyles count="2">
    <cellStyle name="Normal" xfId="0" builtinId="0"/>
    <cellStyle name="Normal 2" xfId="1" xr:uid="{75492191-80B8-4AC7-BBD5-FB62F6FF0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DE83-CD21-4DC4-919A-A91A1C060942}">
  <dimension ref="A1:J35"/>
  <sheetViews>
    <sheetView tabSelected="1" workbookViewId="0">
      <selection activeCell="J34" sqref="J34"/>
    </sheetView>
  </sheetViews>
  <sheetFormatPr defaultRowHeight="14.5" x14ac:dyDescent="0.35"/>
  <cols>
    <col min="1" max="1" width="3" style="2" bestFit="1" customWidth="1"/>
    <col min="2" max="2" width="33" style="2" bestFit="1" customWidth="1"/>
    <col min="3" max="3" width="8.26953125" style="2" bestFit="1" customWidth="1"/>
    <col min="4" max="4" width="6.36328125" style="2" bestFit="1" customWidth="1"/>
    <col min="5" max="5" width="5.1796875" style="2" bestFit="1" customWidth="1"/>
    <col min="6" max="6" width="11.453125" style="2" bestFit="1" customWidth="1"/>
    <col min="7" max="7" width="10" style="2" bestFit="1" customWidth="1"/>
    <col min="8" max="8" width="22.453125" style="2" customWidth="1"/>
    <col min="9" max="9" width="19" style="2" bestFit="1" customWidth="1"/>
    <col min="10" max="10" width="18.54296875" style="1" bestFit="1" customWidth="1"/>
    <col min="11" max="11" width="23.453125" style="2" bestFit="1" customWidth="1"/>
    <col min="12" max="16384" width="8.7265625" style="2"/>
  </cols>
  <sheetData>
    <row r="1" spans="1:10" s="18" customFormat="1" ht="29" customHeight="1" x14ac:dyDescent="0.3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0</v>
      </c>
      <c r="G1" s="17" t="s">
        <v>1</v>
      </c>
      <c r="H1" s="22" t="s">
        <v>37</v>
      </c>
      <c r="I1" s="20" t="s">
        <v>36</v>
      </c>
      <c r="J1" s="20"/>
    </row>
    <row r="2" spans="1:10" x14ac:dyDescent="0.35">
      <c r="A2" s="3">
        <v>1</v>
      </c>
      <c r="B2" s="4" t="s">
        <v>10</v>
      </c>
      <c r="C2" s="5"/>
      <c r="D2" s="6">
        <v>57.5</v>
      </c>
      <c r="E2" s="4" t="s">
        <v>11</v>
      </c>
      <c r="F2" s="7">
        <v>1155</v>
      </c>
      <c r="G2" s="14">
        <v>1172</v>
      </c>
      <c r="H2" s="19">
        <f>G2-F2</f>
        <v>17</v>
      </c>
      <c r="I2" s="8">
        <f>H2/F2*100</f>
        <v>1.471861471861472</v>
      </c>
      <c r="J2" s="21"/>
    </row>
    <row r="3" spans="1:10" x14ac:dyDescent="0.35">
      <c r="A3" s="3">
        <v>2</v>
      </c>
      <c r="B3" s="4" t="s">
        <v>12</v>
      </c>
      <c r="C3" s="5"/>
      <c r="D3" s="6">
        <v>12</v>
      </c>
      <c r="E3" s="4" t="s">
        <v>11</v>
      </c>
      <c r="F3" s="7">
        <v>3665</v>
      </c>
      <c r="G3" s="15">
        <v>4992</v>
      </c>
      <c r="H3" s="19">
        <f t="shared" ref="H3:H31" si="0">G3-F3</f>
        <v>1327</v>
      </c>
      <c r="I3" s="8">
        <f t="shared" ref="I3:I32" si="1">H3/F3*100</f>
        <v>36.207366984993179</v>
      </c>
      <c r="J3" s="21"/>
    </row>
    <row r="4" spans="1:10" x14ac:dyDescent="0.35">
      <c r="A4" s="3">
        <v>3</v>
      </c>
      <c r="B4" s="4" t="s">
        <v>13</v>
      </c>
      <c r="C4" s="5"/>
      <c r="D4" s="6">
        <v>14</v>
      </c>
      <c r="E4" s="4" t="s">
        <v>11</v>
      </c>
      <c r="F4" s="7">
        <v>4046</v>
      </c>
      <c r="G4" s="15">
        <v>4425</v>
      </c>
      <c r="H4" s="19">
        <f t="shared" si="0"/>
        <v>379</v>
      </c>
      <c r="I4" s="8">
        <f t="shared" si="1"/>
        <v>9.3672763222936233</v>
      </c>
      <c r="J4" s="21"/>
    </row>
    <row r="5" spans="1:10" x14ac:dyDescent="0.35">
      <c r="A5" s="3">
        <v>4</v>
      </c>
      <c r="B5" s="4" t="s">
        <v>12</v>
      </c>
      <c r="C5" s="5"/>
      <c r="D5" s="6">
        <v>3</v>
      </c>
      <c r="E5" s="4" t="s">
        <v>11</v>
      </c>
      <c r="F5" s="7">
        <v>3665</v>
      </c>
      <c r="G5" s="15">
        <v>4992</v>
      </c>
      <c r="H5" s="19">
        <f t="shared" si="0"/>
        <v>1327</v>
      </c>
      <c r="I5" s="8">
        <f t="shared" si="1"/>
        <v>36.207366984993179</v>
      </c>
      <c r="J5" s="21"/>
    </row>
    <row r="6" spans="1:10" x14ac:dyDescent="0.35">
      <c r="A6" s="3">
        <v>5</v>
      </c>
      <c r="B6" s="4" t="s">
        <v>14</v>
      </c>
      <c r="C6" s="5"/>
      <c r="D6" s="6">
        <v>104.5</v>
      </c>
      <c r="E6" s="4" t="s">
        <v>11</v>
      </c>
      <c r="F6" s="7">
        <v>1155</v>
      </c>
      <c r="G6" s="15">
        <v>1319</v>
      </c>
      <c r="H6" s="19">
        <f t="shared" si="0"/>
        <v>164</v>
      </c>
      <c r="I6" s="8">
        <f t="shared" si="1"/>
        <v>14.1991341991342</v>
      </c>
      <c r="J6" s="21"/>
    </row>
    <row r="7" spans="1:10" x14ac:dyDescent="0.35">
      <c r="A7" s="3">
        <v>6</v>
      </c>
      <c r="B7" s="4" t="s">
        <v>12</v>
      </c>
      <c r="C7" s="5"/>
      <c r="D7" s="6">
        <v>21</v>
      </c>
      <c r="E7" s="4" t="s">
        <v>11</v>
      </c>
      <c r="F7" s="7">
        <v>3665</v>
      </c>
      <c r="G7" s="15">
        <v>4992</v>
      </c>
      <c r="H7" s="19">
        <f t="shared" si="0"/>
        <v>1327</v>
      </c>
      <c r="I7" s="8">
        <f t="shared" si="1"/>
        <v>36.207366984993179</v>
      </c>
      <c r="J7" s="21"/>
    </row>
    <row r="8" spans="1:10" x14ac:dyDescent="0.35">
      <c r="A8" s="3">
        <v>7</v>
      </c>
      <c r="B8" s="4" t="s">
        <v>10</v>
      </c>
      <c r="C8" s="5"/>
      <c r="D8" s="6">
        <v>67.5</v>
      </c>
      <c r="E8" s="4" t="s">
        <v>11</v>
      </c>
      <c r="F8" s="7">
        <v>1155</v>
      </c>
      <c r="G8" s="15">
        <v>1172</v>
      </c>
      <c r="H8" s="19">
        <f t="shared" si="0"/>
        <v>17</v>
      </c>
      <c r="I8" s="8">
        <f t="shared" si="1"/>
        <v>1.471861471861472</v>
      </c>
      <c r="J8" s="21"/>
    </row>
    <row r="9" spans="1:10" x14ac:dyDescent="0.35">
      <c r="A9" s="3">
        <v>8</v>
      </c>
      <c r="B9" s="4" t="s">
        <v>12</v>
      </c>
      <c r="C9" s="5"/>
      <c r="D9" s="6">
        <v>14</v>
      </c>
      <c r="E9" s="4" t="s">
        <v>11</v>
      </c>
      <c r="F9" s="7">
        <v>3665</v>
      </c>
      <c r="G9" s="15">
        <v>4992</v>
      </c>
      <c r="H9" s="19">
        <f t="shared" si="0"/>
        <v>1327</v>
      </c>
      <c r="I9" s="8">
        <f t="shared" si="1"/>
        <v>36.207366984993179</v>
      </c>
      <c r="J9" s="21"/>
    </row>
    <row r="10" spans="1:10" x14ac:dyDescent="0.35">
      <c r="A10" s="3">
        <v>9</v>
      </c>
      <c r="B10" s="4" t="s">
        <v>15</v>
      </c>
      <c r="C10" s="5"/>
      <c r="D10" s="6">
        <v>128.5</v>
      </c>
      <c r="E10" s="4" t="s">
        <v>11</v>
      </c>
      <c r="F10" s="7">
        <v>1186</v>
      </c>
      <c r="G10" s="15">
        <v>1251</v>
      </c>
      <c r="H10" s="19">
        <f t="shared" si="0"/>
        <v>65</v>
      </c>
      <c r="I10" s="8">
        <f t="shared" si="1"/>
        <v>5.4806070826306916</v>
      </c>
      <c r="J10" s="21"/>
    </row>
    <row r="11" spans="1:10" x14ac:dyDescent="0.35">
      <c r="A11" s="3">
        <v>10</v>
      </c>
      <c r="B11" s="4" t="s">
        <v>12</v>
      </c>
      <c r="C11" s="5"/>
      <c r="D11" s="6">
        <v>14</v>
      </c>
      <c r="E11" s="4" t="s">
        <v>11</v>
      </c>
      <c r="F11" s="7">
        <v>3665</v>
      </c>
      <c r="G11" s="15">
        <v>4992</v>
      </c>
      <c r="H11" s="19">
        <f t="shared" si="0"/>
        <v>1327</v>
      </c>
      <c r="I11" s="8">
        <f t="shared" si="1"/>
        <v>36.207366984993179</v>
      </c>
      <c r="J11" s="21"/>
    </row>
    <row r="12" spans="1:10" x14ac:dyDescent="0.35">
      <c r="A12" s="3">
        <v>11</v>
      </c>
      <c r="B12" s="4" t="s">
        <v>16</v>
      </c>
      <c r="C12" s="5"/>
      <c r="D12" s="6">
        <v>9.1999999999999993</v>
      </c>
      <c r="E12" s="4" t="s">
        <v>11</v>
      </c>
      <c r="F12" s="7">
        <v>4046</v>
      </c>
      <c r="G12" s="15">
        <v>4425</v>
      </c>
      <c r="H12" s="19">
        <f t="shared" si="0"/>
        <v>379</v>
      </c>
      <c r="I12" s="8">
        <f t="shared" si="1"/>
        <v>9.3672763222936233</v>
      </c>
      <c r="J12" s="21"/>
    </row>
    <row r="13" spans="1:10" x14ac:dyDescent="0.35">
      <c r="A13" s="3">
        <v>12</v>
      </c>
      <c r="B13" s="4" t="s">
        <v>12</v>
      </c>
      <c r="C13" s="5"/>
      <c r="D13" s="6">
        <v>2</v>
      </c>
      <c r="E13" s="4" t="s">
        <v>11</v>
      </c>
      <c r="F13" s="7">
        <v>3665</v>
      </c>
      <c r="G13" s="15">
        <v>4992</v>
      </c>
      <c r="H13" s="19">
        <f t="shared" si="0"/>
        <v>1327</v>
      </c>
      <c r="I13" s="8">
        <f t="shared" si="1"/>
        <v>36.207366984993179</v>
      </c>
      <c r="J13" s="21"/>
    </row>
    <row r="14" spans="1:10" x14ac:dyDescent="0.35">
      <c r="A14" s="3">
        <v>13</v>
      </c>
      <c r="B14" s="4" t="s">
        <v>17</v>
      </c>
      <c r="C14" s="5"/>
      <c r="D14" s="6">
        <v>33</v>
      </c>
      <c r="E14" s="4" t="s">
        <v>11</v>
      </c>
      <c r="F14" s="7">
        <v>8332</v>
      </c>
      <c r="G14" s="15">
        <v>9045</v>
      </c>
      <c r="H14" s="19">
        <f t="shared" si="0"/>
        <v>713</v>
      </c>
      <c r="I14" s="8">
        <f t="shared" si="1"/>
        <v>8.557369179068651</v>
      </c>
      <c r="J14" s="21"/>
    </row>
    <row r="15" spans="1:10" x14ac:dyDescent="0.35">
      <c r="A15" s="3">
        <v>14</v>
      </c>
      <c r="B15" s="4" t="s">
        <v>18</v>
      </c>
      <c r="C15" s="5"/>
      <c r="D15" s="6">
        <v>15</v>
      </c>
      <c r="E15" s="4" t="s">
        <v>11</v>
      </c>
      <c r="F15" s="7">
        <v>8106</v>
      </c>
      <c r="G15" s="15">
        <v>9317</v>
      </c>
      <c r="H15" s="19">
        <f t="shared" si="0"/>
        <v>1211</v>
      </c>
      <c r="I15" s="8">
        <f t="shared" si="1"/>
        <v>14.939550949913643</v>
      </c>
      <c r="J15" s="21"/>
    </row>
    <row r="16" spans="1:10" x14ac:dyDescent="0.35">
      <c r="A16" s="3">
        <v>15</v>
      </c>
      <c r="B16" s="4" t="s">
        <v>19</v>
      </c>
      <c r="C16" s="5"/>
      <c r="D16" s="6">
        <v>12</v>
      </c>
      <c r="E16" s="4" t="s">
        <v>11</v>
      </c>
      <c r="F16" s="7">
        <v>4229</v>
      </c>
      <c r="G16" s="15">
        <v>5842</v>
      </c>
      <c r="H16" s="19">
        <f t="shared" si="0"/>
        <v>1613</v>
      </c>
      <c r="I16" s="8">
        <f t="shared" si="1"/>
        <v>38.141404587372904</v>
      </c>
      <c r="J16" s="21"/>
    </row>
    <row r="17" spans="1:10" x14ac:dyDescent="0.35">
      <c r="A17" s="3">
        <v>16</v>
      </c>
      <c r="B17" s="4" t="s">
        <v>20</v>
      </c>
      <c r="C17" s="5"/>
      <c r="D17" s="6">
        <v>9</v>
      </c>
      <c r="E17" s="4" t="s">
        <v>11</v>
      </c>
      <c r="F17" s="7">
        <v>9371</v>
      </c>
      <c r="G17" s="15">
        <v>12491</v>
      </c>
      <c r="H17" s="19">
        <f t="shared" si="0"/>
        <v>3120</v>
      </c>
      <c r="I17" s="8">
        <f t="shared" si="1"/>
        <v>33.294205527691815</v>
      </c>
      <c r="J17" s="21"/>
    </row>
    <row r="18" spans="1:10" x14ac:dyDescent="0.35">
      <c r="A18" s="3">
        <v>17</v>
      </c>
      <c r="B18" s="4" t="s">
        <v>21</v>
      </c>
      <c r="C18" s="5"/>
      <c r="D18" s="6">
        <v>12</v>
      </c>
      <c r="E18" s="4" t="s">
        <v>11</v>
      </c>
      <c r="F18" s="7">
        <v>11365</v>
      </c>
      <c r="G18" s="16">
        <v>14514</v>
      </c>
      <c r="H18" s="19">
        <f t="shared" si="0"/>
        <v>3149</v>
      </c>
      <c r="I18" s="8">
        <f t="shared" si="1"/>
        <v>27.707875054993401</v>
      </c>
      <c r="J18" s="21"/>
    </row>
    <row r="19" spans="1:10" x14ac:dyDescent="0.35">
      <c r="A19" s="3">
        <v>18</v>
      </c>
      <c r="B19" s="4" t="s">
        <v>22</v>
      </c>
      <c r="C19" s="5"/>
      <c r="D19" s="6">
        <v>5</v>
      </c>
      <c r="E19" s="4" t="s">
        <v>11</v>
      </c>
      <c r="F19" s="7">
        <v>4867</v>
      </c>
      <c r="G19" s="15">
        <v>5686</v>
      </c>
      <c r="H19" s="19">
        <f t="shared" si="0"/>
        <v>819</v>
      </c>
      <c r="I19" s="8">
        <f t="shared" si="1"/>
        <v>16.827614546948837</v>
      </c>
      <c r="J19" s="21"/>
    </row>
    <row r="20" spans="1:10" x14ac:dyDescent="0.35">
      <c r="A20" s="3">
        <v>19</v>
      </c>
      <c r="B20" s="4" t="s">
        <v>23</v>
      </c>
      <c r="C20" s="5"/>
      <c r="D20" s="6">
        <v>8</v>
      </c>
      <c r="E20" s="4" t="s">
        <v>11</v>
      </c>
      <c r="F20" s="7">
        <v>6556</v>
      </c>
      <c r="G20" s="15">
        <v>10552</v>
      </c>
      <c r="H20" s="19">
        <f t="shared" si="0"/>
        <v>3996</v>
      </c>
      <c r="I20" s="8">
        <f t="shared" si="1"/>
        <v>60.951799877974381</v>
      </c>
      <c r="J20" s="21"/>
    </row>
    <row r="21" spans="1:10" x14ac:dyDescent="0.35">
      <c r="A21" s="3">
        <v>20</v>
      </c>
      <c r="B21" s="4" t="s">
        <v>24</v>
      </c>
      <c r="C21" s="5"/>
      <c r="D21" s="6">
        <v>37</v>
      </c>
      <c r="E21" s="4" t="s">
        <v>11</v>
      </c>
      <c r="F21" s="7">
        <v>8568</v>
      </c>
      <c r="G21" s="15">
        <v>9621</v>
      </c>
      <c r="H21" s="19">
        <f t="shared" si="0"/>
        <v>1053</v>
      </c>
      <c r="I21" s="8">
        <f t="shared" si="1"/>
        <v>12.289915966386554</v>
      </c>
      <c r="J21" s="21"/>
    </row>
    <row r="22" spans="1:10" x14ac:dyDescent="0.35">
      <c r="A22" s="3">
        <v>21</v>
      </c>
      <c r="B22" s="4" t="s">
        <v>25</v>
      </c>
      <c r="C22" s="5"/>
      <c r="D22" s="6">
        <v>23</v>
      </c>
      <c r="E22" s="4" t="s">
        <v>11</v>
      </c>
      <c r="F22" s="7">
        <v>8568</v>
      </c>
      <c r="G22" s="15">
        <v>9621</v>
      </c>
      <c r="H22" s="19">
        <f t="shared" si="0"/>
        <v>1053</v>
      </c>
      <c r="I22" s="8">
        <f t="shared" si="1"/>
        <v>12.289915966386554</v>
      </c>
      <c r="J22" s="21"/>
    </row>
    <row r="23" spans="1:10" x14ac:dyDescent="0.35">
      <c r="A23" s="3">
        <v>22</v>
      </c>
      <c r="B23" s="4" t="s">
        <v>26</v>
      </c>
      <c r="C23" s="5"/>
      <c r="D23" s="6">
        <v>32</v>
      </c>
      <c r="E23" s="4" t="s">
        <v>11</v>
      </c>
      <c r="F23" s="7">
        <v>17276</v>
      </c>
      <c r="G23" s="15">
        <v>17792</v>
      </c>
      <c r="H23" s="19">
        <f t="shared" si="0"/>
        <v>516</v>
      </c>
      <c r="I23" s="8">
        <f t="shared" si="1"/>
        <v>2.9868025005788374</v>
      </c>
      <c r="J23" s="21"/>
    </row>
    <row r="24" spans="1:10" x14ac:dyDescent="0.35">
      <c r="A24" s="3">
        <v>23</v>
      </c>
      <c r="B24" s="4" t="s">
        <v>27</v>
      </c>
      <c r="C24" s="5"/>
      <c r="D24" s="6">
        <v>15</v>
      </c>
      <c r="E24" s="4" t="s">
        <v>11</v>
      </c>
      <c r="F24" s="7">
        <v>10768</v>
      </c>
      <c r="G24" s="15">
        <v>11253</v>
      </c>
      <c r="H24" s="19">
        <f t="shared" si="0"/>
        <v>485</v>
      </c>
      <c r="I24" s="8">
        <f t="shared" si="1"/>
        <v>4.5040861812778603</v>
      </c>
      <c r="J24" s="21"/>
    </row>
    <row r="25" spans="1:10" x14ac:dyDescent="0.35">
      <c r="A25" s="3">
        <v>24</v>
      </c>
      <c r="B25" s="4" t="s">
        <v>27</v>
      </c>
      <c r="C25" s="5"/>
      <c r="D25" s="6">
        <v>12</v>
      </c>
      <c r="E25" s="4" t="s">
        <v>11</v>
      </c>
      <c r="F25" s="7">
        <v>9789</v>
      </c>
      <c r="G25" s="15">
        <v>11253</v>
      </c>
      <c r="H25" s="19">
        <f t="shared" si="0"/>
        <v>1464</v>
      </c>
      <c r="I25" s="8">
        <f t="shared" si="1"/>
        <v>14.955562365920933</v>
      </c>
      <c r="J25" s="21"/>
    </row>
    <row r="26" spans="1:10" x14ac:dyDescent="0.35">
      <c r="A26" s="3">
        <v>25</v>
      </c>
      <c r="B26" s="4" t="s">
        <v>28</v>
      </c>
      <c r="C26" s="5"/>
      <c r="D26" s="6">
        <v>5</v>
      </c>
      <c r="E26" s="4" t="s">
        <v>11</v>
      </c>
      <c r="F26" s="7">
        <v>11659</v>
      </c>
      <c r="G26" s="15">
        <v>13401</v>
      </c>
      <c r="H26" s="19">
        <f t="shared" si="0"/>
        <v>1742</v>
      </c>
      <c r="I26" s="8">
        <f t="shared" si="1"/>
        <v>14.941247105240588</v>
      </c>
      <c r="J26" s="21"/>
    </row>
    <row r="27" spans="1:10" x14ac:dyDescent="0.35">
      <c r="A27" s="3">
        <v>26</v>
      </c>
      <c r="B27" s="4" t="s">
        <v>29</v>
      </c>
      <c r="C27" s="5"/>
      <c r="D27" s="6">
        <v>12</v>
      </c>
      <c r="E27" s="4" t="s">
        <v>11</v>
      </c>
      <c r="F27" s="7">
        <v>10597</v>
      </c>
      <c r="G27" s="15">
        <v>10345</v>
      </c>
      <c r="H27" s="19">
        <f t="shared" si="0"/>
        <v>-252</v>
      </c>
      <c r="I27" s="8">
        <f t="shared" si="1"/>
        <v>-2.3780315183542511</v>
      </c>
      <c r="J27" s="21"/>
    </row>
    <row r="28" spans="1:10" x14ac:dyDescent="0.35">
      <c r="A28" s="3">
        <v>27</v>
      </c>
      <c r="B28" s="4" t="s">
        <v>30</v>
      </c>
      <c r="C28" s="5"/>
      <c r="D28" s="6">
        <v>11</v>
      </c>
      <c r="E28" s="4" t="s">
        <v>11</v>
      </c>
      <c r="F28" s="7">
        <v>9490</v>
      </c>
      <c r="G28" s="15">
        <v>10819</v>
      </c>
      <c r="H28" s="19">
        <f t="shared" si="0"/>
        <v>1329</v>
      </c>
      <c r="I28" s="8">
        <f t="shared" si="1"/>
        <v>14.004214963119072</v>
      </c>
      <c r="J28" s="21"/>
    </row>
    <row r="29" spans="1:10" x14ac:dyDescent="0.35">
      <c r="A29" s="3">
        <v>28</v>
      </c>
      <c r="B29" s="4" t="s">
        <v>31</v>
      </c>
      <c r="C29" s="5"/>
      <c r="D29" s="6">
        <v>11</v>
      </c>
      <c r="E29" s="4" t="s">
        <v>11</v>
      </c>
      <c r="F29" s="7">
        <v>12491</v>
      </c>
      <c r="G29" s="15">
        <v>7530</v>
      </c>
      <c r="H29" s="19">
        <f t="shared" si="0"/>
        <v>-4961</v>
      </c>
      <c r="I29" s="8">
        <f t="shared" si="1"/>
        <v>-39.716595949083342</v>
      </c>
      <c r="J29" s="21"/>
    </row>
    <row r="30" spans="1:10" x14ac:dyDescent="0.35">
      <c r="A30" s="3">
        <v>29</v>
      </c>
      <c r="B30" s="4" t="s">
        <v>32</v>
      </c>
      <c r="C30" s="5"/>
      <c r="D30" s="6">
        <v>5</v>
      </c>
      <c r="E30" s="4" t="s">
        <v>11</v>
      </c>
      <c r="F30" s="7">
        <v>12905</v>
      </c>
      <c r="G30" s="15">
        <v>14811</v>
      </c>
      <c r="H30" s="19">
        <f t="shared" si="0"/>
        <v>1906</v>
      </c>
      <c r="I30" s="8">
        <f t="shared" si="1"/>
        <v>14.769469197985277</v>
      </c>
      <c r="J30" s="21"/>
    </row>
    <row r="31" spans="1:10" x14ac:dyDescent="0.35">
      <c r="A31" s="3">
        <v>30</v>
      </c>
      <c r="B31" s="4" t="s">
        <v>33</v>
      </c>
      <c r="C31" s="5"/>
      <c r="D31" s="6">
        <v>17</v>
      </c>
      <c r="E31" s="4" t="s">
        <v>11</v>
      </c>
      <c r="F31" s="7">
        <v>6420</v>
      </c>
      <c r="G31" s="15">
        <v>7378</v>
      </c>
      <c r="H31" s="19">
        <f t="shared" si="0"/>
        <v>958</v>
      </c>
      <c r="I31" s="8">
        <f t="shared" si="1"/>
        <v>14.922118380062305</v>
      </c>
      <c r="J31" s="21"/>
    </row>
    <row r="32" spans="1:10" x14ac:dyDescent="0.35">
      <c r="A32" s="3">
        <v>31</v>
      </c>
      <c r="B32" s="4" t="s">
        <v>34</v>
      </c>
      <c r="C32" s="5"/>
      <c r="D32" s="6">
        <v>21</v>
      </c>
      <c r="E32" s="4" t="s">
        <v>11</v>
      </c>
      <c r="F32" s="7">
        <v>4864</v>
      </c>
      <c r="G32" s="15">
        <v>5590</v>
      </c>
      <c r="H32" s="19">
        <f>G32-F32</f>
        <v>726</v>
      </c>
      <c r="I32" s="8">
        <f t="shared" si="1"/>
        <v>14.925986842105262</v>
      </c>
      <c r="J32" s="21"/>
    </row>
    <row r="33" spans="1:9" x14ac:dyDescent="0.35">
      <c r="A33" s="9"/>
      <c r="B33" s="10" t="s">
        <v>7</v>
      </c>
      <c r="C33" s="9"/>
      <c r="D33" s="9"/>
      <c r="E33" s="9"/>
      <c r="F33" s="9"/>
      <c r="G33" s="8"/>
      <c r="H33" s="19">
        <f t="shared" ref="H33:H34" si="2">G33-F33</f>
        <v>0</v>
      </c>
      <c r="I33" s="8"/>
    </row>
    <row r="34" spans="1:9" x14ac:dyDescent="0.35">
      <c r="A34" s="11" t="s">
        <v>35</v>
      </c>
      <c r="B34" s="11"/>
      <c r="C34" s="11"/>
      <c r="D34" s="6">
        <v>742.2</v>
      </c>
      <c r="E34" s="5"/>
      <c r="F34" s="23">
        <f>SUM(F2:F33)</f>
        <v>210954</v>
      </c>
      <c r="G34" s="24">
        <f>SUM(G2:G33)</f>
        <v>240577</v>
      </c>
      <c r="H34" s="19">
        <f t="shared" si="2"/>
        <v>29623</v>
      </c>
      <c r="I34" s="8"/>
    </row>
    <row r="35" spans="1:9" x14ac:dyDescent="0.35">
      <c r="A35" s="12" t="s">
        <v>8</v>
      </c>
      <c r="B35" s="12"/>
      <c r="C35" s="12"/>
      <c r="D35" s="12"/>
      <c r="E35" s="12"/>
      <c r="F35" s="13" t="s">
        <v>9</v>
      </c>
      <c r="G35" s="8"/>
      <c r="H35" s="8"/>
      <c r="I35" s="8"/>
    </row>
  </sheetData>
  <mergeCells count="2">
    <mergeCell ref="A35:E35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2024-12-31T10:33:57Z</dcterms:created>
  <dcterms:modified xsi:type="dcterms:W3CDTF">2024-12-31T11:34:22Z</dcterms:modified>
</cp:coreProperties>
</file>