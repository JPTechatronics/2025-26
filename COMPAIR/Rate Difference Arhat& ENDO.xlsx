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COMPAIR\"/>
    </mc:Choice>
  </mc:AlternateContent>
  <xr:revisionPtr revIDLastSave="0" documentId="13_ncr:1_{C1C07DB7-D548-4D03-8112-84E9DF475EF4}" xr6:coauthVersionLast="47" xr6:coauthVersionMax="47" xr10:uidLastSave="{00000000-0000-0000-0000-000000000000}"/>
  <bookViews>
    <workbookView xWindow="-110" yWindow="-110" windowWidth="19420" windowHeight="10420" xr2:uid="{56111AA9-44F2-4125-A87C-E81BCCEABB5B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F36" i="1"/>
  <c r="E36" i="1"/>
  <c r="G36" i="1" s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<sst xmlns="http://schemas.openxmlformats.org/spreadsheetml/2006/main" count="73" uniqueCount="36">
  <si>
    <t>SN</t>
  </si>
  <si>
    <t>Description</t>
  </si>
  <si>
    <t>Qty</t>
  </si>
  <si>
    <t>UOM</t>
  </si>
  <si>
    <t>Arhat Rate</t>
  </si>
  <si>
    <r>
      <rPr>
        <sz val="11"/>
        <rFont val="Calibri"/>
        <family val="1"/>
      </rPr>
      <t>TSUKI-R-1714-10W/Mtr</t>
    </r>
  </si>
  <si>
    <r>
      <rPr>
        <sz val="11"/>
        <rFont val="Arial MT"/>
        <family val="2"/>
      </rPr>
      <t>no</t>
    </r>
  </si>
  <si>
    <r>
      <rPr>
        <sz val="11"/>
        <rFont val="Calibri"/>
        <family val="1"/>
      </rPr>
      <t>Driver</t>
    </r>
  </si>
  <si>
    <r>
      <rPr>
        <sz val="11"/>
        <rFont val="Calibri"/>
        <family val="1"/>
      </rPr>
      <t>TSUKI-NF-DB-16X16-NS-130- 14W-IP67</t>
    </r>
  </si>
  <si>
    <r>
      <rPr>
        <sz val="11"/>
        <rFont val="Calibri"/>
        <family val="1"/>
      </rPr>
      <t>TSUKI-R-1818-10W/Mtr</t>
    </r>
  </si>
  <si>
    <r>
      <rPr>
        <sz val="11"/>
        <rFont val="Calibri"/>
        <family val="1"/>
      </rPr>
      <t>TSUKI-S-1714-5W/Mtr (IP65)</t>
    </r>
  </si>
  <si>
    <r>
      <rPr>
        <sz val="11"/>
        <rFont val="Calibri"/>
        <family val="1"/>
      </rPr>
      <t>TSUKI-NF-DB-16X16-NS-130- 9W-IP67</t>
    </r>
  </si>
  <si>
    <r>
      <rPr>
        <sz val="11"/>
        <rFont val="Calibri"/>
        <family val="1"/>
      </rPr>
      <t>GERD8901W-T</t>
    </r>
  </si>
  <si>
    <r>
      <rPr>
        <sz val="11"/>
        <rFont val="Calibri"/>
        <family val="1"/>
      </rPr>
      <t>ELUIR1-70-0630-KN</t>
    </r>
  </si>
  <si>
    <r>
      <rPr>
        <sz val="11"/>
        <rFont val="Calibri"/>
        <family val="1"/>
      </rPr>
      <t>XR-CMT410</t>
    </r>
  </si>
  <si>
    <r>
      <rPr>
        <sz val="11"/>
        <rFont val="Calibri"/>
        <family val="1"/>
      </rPr>
      <t>FL-24G-GRILLE LINEAR-24W</t>
    </r>
  </si>
  <si>
    <r>
      <rPr>
        <sz val="11"/>
        <rFont val="Calibri"/>
        <family val="1"/>
      </rPr>
      <t>GERS7092BA-T</t>
    </r>
  </si>
  <si>
    <r>
      <rPr>
        <sz val="11"/>
        <rFont val="Calibri"/>
        <family val="1"/>
      </rPr>
      <t>GERD9898W-T</t>
    </r>
  </si>
  <si>
    <r>
      <rPr>
        <sz val="11"/>
        <rFont val="Calibri"/>
        <family val="1"/>
      </rPr>
      <t>GERD9869W-T</t>
    </r>
  </si>
  <si>
    <r>
      <rPr>
        <sz val="11"/>
        <rFont val="Calibri"/>
        <family val="1"/>
      </rPr>
      <t>GSTDA1800W-AMH30</t>
    </r>
  </si>
  <si>
    <r>
      <rPr>
        <sz val="11"/>
        <rFont val="Calibri"/>
        <family val="1"/>
      </rPr>
      <t>GSTDA1800W-AWH30</t>
    </r>
  </si>
  <si>
    <r>
      <rPr>
        <sz val="11"/>
        <rFont val="Calibri"/>
        <family val="1"/>
      </rPr>
      <t>GERD8849W-T</t>
    </r>
  </si>
  <si>
    <r>
      <rPr>
        <sz val="11"/>
        <rFont val="Calibri"/>
        <family val="1"/>
      </rPr>
      <t>GERD8127WA-T</t>
    </r>
  </si>
  <si>
    <r>
      <rPr>
        <sz val="11"/>
        <rFont val="Calibri"/>
        <family val="1"/>
      </rPr>
      <t>GERD8202WB-T</t>
    </r>
  </si>
  <si>
    <r>
      <rPr>
        <sz val="11"/>
        <rFont val="Calibri"/>
        <family val="1"/>
      </rPr>
      <t>GERD8604W-T</t>
    </r>
  </si>
  <si>
    <r>
      <rPr>
        <sz val="11"/>
        <rFont val="Calibri"/>
        <family val="1"/>
      </rPr>
      <t>GERS6922H-T</t>
    </r>
  </si>
  <si>
    <r>
      <rPr>
        <sz val="11"/>
        <rFont val="Calibri"/>
        <family val="1"/>
      </rPr>
      <t>GERS7306H-T +GRB898N</t>
    </r>
  </si>
  <si>
    <r>
      <rPr>
        <sz val="11"/>
        <rFont val="Calibri"/>
        <family val="1"/>
      </rPr>
      <t>EWLR2-300-1030-K</t>
    </r>
  </si>
  <si>
    <r>
      <rPr>
        <sz val="11"/>
        <rFont val="Calibri"/>
        <family val="1"/>
      </rPr>
      <t>ELFR5-255-0630-K</t>
    </r>
  </si>
  <si>
    <r>
      <rPr>
        <sz val="11"/>
        <rFont val="Calibri"/>
        <family val="1"/>
      </rPr>
      <t>ELFR2-72-0330-K</t>
    </r>
  </si>
  <si>
    <r>
      <rPr>
        <sz val="11"/>
        <rFont val="Arial MT"/>
        <family val="2"/>
      </rPr>
      <t>Total</t>
    </r>
  </si>
  <si>
    <t>ENDO Rate</t>
  </si>
  <si>
    <t>Rate Difference:              Arhat Rate-ENDO Rate</t>
  </si>
  <si>
    <t>%</t>
  </si>
  <si>
    <t>ENDO/Rate difference*100</t>
  </si>
  <si>
    <t>Different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</si>
</sst>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11"/>
      <color rgb="FF000000"/>
      <name val="Arial MT"/>
      <family val="2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Arial MT"/>
    </font>
    <font>
      <sz val="11"/>
      <name val="Arial MT"/>
      <family val="2"/>
    </font>
    <font>
      <b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1" fontId="3" fillId="0" borderId="3" xfId="1" applyNumberFormat="1" applyFont="1" applyBorder="1" applyAlignment="1">
      <alignment horizontal="center" vertical="top" shrinkToFit="1"/>
    </xf>
    <xf numFmtId="0" fontId="4" fillId="0" borderId="3" xfId="1" applyFont="1" applyBorder="1" applyAlignment="1">
      <alignment horizontal="center" vertical="top"/>
    </xf>
    <xf numFmtId="1" fontId="7" fillId="0" borderId="3" xfId="1" applyNumberFormat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top"/>
    </xf>
    <xf numFmtId="3" fontId="7" fillId="0" borderId="3" xfId="1" applyNumberFormat="1" applyFont="1" applyBorder="1" applyAlignment="1">
      <alignment horizontal="right" vertical="top" shrinkToFit="1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 shrinkToFit="1"/>
    </xf>
    <xf numFmtId="1" fontId="3" fillId="2" borderId="3" xfId="1" applyNumberFormat="1" applyFont="1" applyFill="1" applyBorder="1" applyAlignment="1">
      <alignment horizontal="center" vertical="top" shrinkToFit="1"/>
    </xf>
    <xf numFmtId="0" fontId="4" fillId="2" borderId="3" xfId="1" applyFont="1" applyFill="1" applyBorder="1" applyAlignment="1">
      <alignment horizontal="center" vertical="top"/>
    </xf>
    <xf numFmtId="1" fontId="7" fillId="2" borderId="3" xfId="1" applyNumberFormat="1" applyFont="1" applyFill="1" applyBorder="1" applyAlignment="1">
      <alignment horizontal="center" vertical="center" shrinkToFit="1"/>
    </xf>
    <xf numFmtId="0" fontId="8" fillId="2" borderId="3" xfId="1" applyFont="1" applyFill="1" applyBorder="1" applyAlignment="1">
      <alignment horizontal="center" vertical="top"/>
    </xf>
    <xf numFmtId="3" fontId="7" fillId="2" borderId="3" xfId="1" applyNumberFormat="1" applyFont="1" applyFill="1" applyBorder="1" applyAlignment="1">
      <alignment horizontal="right" vertical="top" shrinkToFit="1"/>
    </xf>
    <xf numFmtId="1" fontId="0" fillId="2" borderId="5" xfId="0" applyNumberFormat="1" applyFill="1" applyBorder="1" applyAlignment="1">
      <alignment horizontal="center" vertical="center"/>
    </xf>
    <xf numFmtId="0" fontId="6" fillId="0" borderId="3" xfId="1" applyFont="1" applyBorder="1" applyAlignment="1">
      <alignment horizontal="left" vertical="top"/>
    </xf>
    <xf numFmtId="0" fontId="2" fillId="0" borderId="3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top"/>
    </xf>
    <xf numFmtId="3" fontId="7" fillId="0" borderId="1" xfId="1" applyNumberFormat="1" applyFont="1" applyBorder="1" applyAlignment="1">
      <alignment horizontal="right" vertical="top" shrinkToFit="1"/>
    </xf>
    <xf numFmtId="0" fontId="6" fillId="0" borderId="5" xfId="1" applyFont="1" applyBorder="1" applyAlignment="1">
      <alignment horizontal="left" vertical="top"/>
    </xf>
    <xf numFmtId="0" fontId="6" fillId="0" borderId="5" xfId="1" applyFont="1" applyBorder="1" applyAlignment="1">
      <alignment horizontal="left"/>
    </xf>
    <xf numFmtId="3" fontId="6" fillId="0" borderId="5" xfId="1" applyNumberFormat="1" applyFont="1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0" fillId="0" borderId="0" xfId="0" applyAlignment="1">
      <alignment vertical="center"/>
    </xf>
    <xf numFmtId="1" fontId="0" fillId="0" borderId="8" xfId="0" applyNumberFormat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/>
    <xf numFmtId="0" fontId="0" fillId="2" borderId="5" xfId="0" applyFill="1" applyBorder="1"/>
    <xf numFmtId="0" fontId="0" fillId="0" borderId="10" xfId="0" applyBorder="1"/>
    <xf numFmtId="0" fontId="0" fillId="0" borderId="11" xfId="0" applyBorder="1" applyAlignment="1">
      <alignment horizontal="center"/>
    </xf>
    <xf numFmtId="1" fontId="3" fillId="0" borderId="2" xfId="1" applyNumberFormat="1" applyFont="1" applyBorder="1" applyAlignment="1">
      <alignment horizontal="center" vertical="top" shrinkToFit="1"/>
    </xf>
    <xf numFmtId="0" fontId="4" fillId="0" borderId="2" xfId="1" applyFont="1" applyBorder="1" applyAlignment="1">
      <alignment horizontal="center" vertical="top"/>
    </xf>
    <xf numFmtId="1" fontId="7" fillId="0" borderId="2" xfId="1" applyNumberFormat="1" applyFont="1" applyBorder="1" applyAlignment="1">
      <alignment horizontal="center" vertical="center" shrinkToFit="1"/>
    </xf>
    <xf numFmtId="0" fontId="8" fillId="0" borderId="2" xfId="1" applyFont="1" applyBorder="1" applyAlignment="1">
      <alignment horizontal="center" vertical="top"/>
    </xf>
    <xf numFmtId="3" fontId="7" fillId="0" borderId="2" xfId="1" applyNumberFormat="1" applyFont="1" applyBorder="1" applyAlignment="1">
      <alignment horizontal="right" vertical="top" shrinkToFit="1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" fillId="0" borderId="15" xfId="1" applyFont="1" applyBorder="1" applyAlignment="1">
      <alignment horizontal="center" vertical="top"/>
    </xf>
    <xf numFmtId="0" fontId="2" fillId="0" borderId="18" xfId="1" applyFont="1" applyBorder="1" applyAlignment="1">
      <alignment horizontal="center" vertical="top"/>
    </xf>
    <xf numFmtId="0" fontId="2" fillId="0" borderId="16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top"/>
    </xf>
    <xf numFmtId="0" fontId="8" fillId="0" borderId="7" xfId="1" applyFont="1" applyBorder="1" applyAlignment="1">
      <alignment horizontal="center" vertical="top"/>
    </xf>
    <xf numFmtId="0" fontId="2" fillId="0" borderId="14" xfId="1" applyFont="1" applyBorder="1" applyAlignment="1">
      <alignment horizontal="left" vertical="top"/>
    </xf>
    <xf numFmtId="0" fontId="2" fillId="0" borderId="17" xfId="1" applyFont="1" applyBorder="1" applyAlignment="1">
      <alignment horizontal="left" vertical="top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top"/>
    </xf>
    <xf numFmtId="0" fontId="2" fillId="0" borderId="18" xfId="1" applyFont="1" applyBorder="1" applyAlignment="1">
      <alignment horizontal="left" vertical="top"/>
    </xf>
  </cellXfs>
  <cellStyles count="2">
    <cellStyle name="Normal" xfId="0" builtinId="0"/>
    <cellStyle name="Normal 2" xfId="1" xr:uid="{774010CB-04A0-466E-8BB8-020D87EFA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BBDE-EE55-4645-A9EE-984705031FDC}">
  <dimension ref="A1:I36"/>
  <sheetViews>
    <sheetView tabSelected="1" topLeftCell="A16" workbookViewId="0">
      <selection activeCell="B44" sqref="B44"/>
    </sheetView>
  </sheetViews>
  <sheetFormatPr defaultRowHeight="14.5"/>
  <cols>
    <col min="2" max="2" width="33" bestFit="1" customWidth="1"/>
    <col min="3" max="3" width="8.7265625" style="18"/>
    <col min="5" max="5" width="10.6328125" bestFit="1" customWidth="1"/>
    <col min="6" max="6" width="11.453125" style="17" bestFit="1" customWidth="1"/>
    <col min="7" max="7" width="22.36328125" style="18" customWidth="1"/>
    <col min="8" max="8" width="23.453125" bestFit="1" customWidth="1"/>
    <col min="9" max="9" width="19.26953125" bestFit="1" customWidth="1"/>
  </cols>
  <sheetData>
    <row r="1" spans="1:9" ht="15" thickBot="1"/>
    <row r="2" spans="1:9" s="27" customFormat="1" ht="15" thickBot="1">
      <c r="A2" s="52" t="s">
        <v>0</v>
      </c>
      <c r="B2" s="46" t="s">
        <v>1</v>
      </c>
      <c r="C2" s="54" t="s">
        <v>2</v>
      </c>
      <c r="D2" s="56" t="s">
        <v>3</v>
      </c>
      <c r="E2" s="56" t="s">
        <v>4</v>
      </c>
      <c r="F2" s="46" t="s">
        <v>31</v>
      </c>
      <c r="G2" s="48" t="s">
        <v>32</v>
      </c>
      <c r="H2" s="44" t="s">
        <v>33</v>
      </c>
      <c r="I2" s="35"/>
    </row>
    <row r="3" spans="1:9" s="18" customFormat="1" ht="15" thickBot="1">
      <c r="A3" s="53"/>
      <c r="B3" s="47"/>
      <c r="C3" s="55"/>
      <c r="D3" s="57"/>
      <c r="E3" s="57"/>
      <c r="F3" s="47"/>
      <c r="G3" s="49"/>
      <c r="H3" s="45" t="s">
        <v>34</v>
      </c>
      <c r="I3" s="35"/>
    </row>
    <row r="4" spans="1:9">
      <c r="A4" s="37">
        <v>1</v>
      </c>
      <c r="B4" s="38" t="s">
        <v>5</v>
      </c>
      <c r="C4" s="39">
        <v>57</v>
      </c>
      <c r="D4" s="40" t="s">
        <v>6</v>
      </c>
      <c r="E4" s="41">
        <v>1155</v>
      </c>
      <c r="F4" s="42">
        <v>1172</v>
      </c>
      <c r="G4" s="43">
        <f>E4-F4</f>
        <v>-17</v>
      </c>
      <c r="H4" s="36">
        <f>G4/F4*100</f>
        <v>-1.4505119453924915</v>
      </c>
      <c r="I4" s="33"/>
    </row>
    <row r="5" spans="1:9">
      <c r="A5" s="1">
        <v>2</v>
      </c>
      <c r="B5" s="2" t="s">
        <v>7</v>
      </c>
      <c r="C5" s="3">
        <v>12</v>
      </c>
      <c r="D5" s="4" t="s">
        <v>6</v>
      </c>
      <c r="E5" s="5">
        <v>3665</v>
      </c>
      <c r="F5" s="7">
        <v>4992</v>
      </c>
      <c r="G5" s="28">
        <f t="shared" ref="G5:G34" si="0">E5-F5</f>
        <v>-1327</v>
      </c>
      <c r="H5" s="32">
        <f t="shared" ref="H5:H34" si="1">G5/F5*100</f>
        <v>-26.582532051282055</v>
      </c>
      <c r="I5" s="33"/>
    </row>
    <row r="6" spans="1:9">
      <c r="A6" s="1">
        <v>3</v>
      </c>
      <c r="B6" s="2" t="s">
        <v>8</v>
      </c>
      <c r="C6" s="3">
        <v>14</v>
      </c>
      <c r="D6" s="4" t="s">
        <v>6</v>
      </c>
      <c r="E6" s="5">
        <v>4046</v>
      </c>
      <c r="F6" s="7">
        <v>4425</v>
      </c>
      <c r="G6" s="28">
        <f t="shared" si="0"/>
        <v>-379</v>
      </c>
      <c r="H6" s="32">
        <f t="shared" si="1"/>
        <v>-8.5649717514124291</v>
      </c>
      <c r="I6" s="33"/>
    </row>
    <row r="7" spans="1:9">
      <c r="A7" s="1">
        <v>4</v>
      </c>
      <c r="B7" s="2" t="s">
        <v>7</v>
      </c>
      <c r="C7" s="3">
        <v>3</v>
      </c>
      <c r="D7" s="4" t="s">
        <v>6</v>
      </c>
      <c r="E7" s="5">
        <v>3665</v>
      </c>
      <c r="F7" s="7">
        <v>4992</v>
      </c>
      <c r="G7" s="28">
        <f t="shared" si="0"/>
        <v>-1327</v>
      </c>
      <c r="H7" s="32">
        <f t="shared" si="1"/>
        <v>-26.582532051282055</v>
      </c>
      <c r="I7" s="33"/>
    </row>
    <row r="8" spans="1:9">
      <c r="A8" s="1">
        <v>5</v>
      </c>
      <c r="B8" s="2" t="s">
        <v>9</v>
      </c>
      <c r="C8" s="3">
        <v>104</v>
      </c>
      <c r="D8" s="4" t="s">
        <v>6</v>
      </c>
      <c r="E8" s="5">
        <v>1155</v>
      </c>
      <c r="F8" s="7">
        <v>1319</v>
      </c>
      <c r="G8" s="28">
        <f t="shared" si="0"/>
        <v>-164</v>
      </c>
      <c r="H8" s="32">
        <f t="shared" si="1"/>
        <v>-12.433661865049279</v>
      </c>
      <c r="I8" s="33"/>
    </row>
    <row r="9" spans="1:9">
      <c r="A9" s="1">
        <v>6</v>
      </c>
      <c r="B9" s="2" t="s">
        <v>7</v>
      </c>
      <c r="C9" s="3">
        <v>21</v>
      </c>
      <c r="D9" s="4" t="s">
        <v>6</v>
      </c>
      <c r="E9" s="5">
        <v>3665</v>
      </c>
      <c r="F9" s="7">
        <v>4992</v>
      </c>
      <c r="G9" s="28">
        <f t="shared" si="0"/>
        <v>-1327</v>
      </c>
      <c r="H9" s="32">
        <f t="shared" si="1"/>
        <v>-26.582532051282055</v>
      </c>
      <c r="I9" s="33"/>
    </row>
    <row r="10" spans="1:9">
      <c r="A10" s="1">
        <v>7</v>
      </c>
      <c r="B10" s="2" t="s">
        <v>5</v>
      </c>
      <c r="C10" s="3">
        <v>67</v>
      </c>
      <c r="D10" s="4" t="s">
        <v>6</v>
      </c>
      <c r="E10" s="5">
        <v>1155</v>
      </c>
      <c r="F10" s="7">
        <v>1172</v>
      </c>
      <c r="G10" s="28">
        <f t="shared" si="0"/>
        <v>-17</v>
      </c>
      <c r="H10" s="32">
        <f t="shared" si="1"/>
        <v>-1.4505119453924915</v>
      </c>
      <c r="I10" s="33"/>
    </row>
    <row r="11" spans="1:9">
      <c r="A11" s="1">
        <v>8</v>
      </c>
      <c r="B11" s="2" t="s">
        <v>7</v>
      </c>
      <c r="C11" s="3">
        <v>14</v>
      </c>
      <c r="D11" s="4" t="s">
        <v>6</v>
      </c>
      <c r="E11" s="5">
        <v>3665</v>
      </c>
      <c r="F11" s="7">
        <v>4992</v>
      </c>
      <c r="G11" s="28">
        <f t="shared" si="0"/>
        <v>-1327</v>
      </c>
      <c r="H11" s="32">
        <f t="shared" si="1"/>
        <v>-26.582532051282055</v>
      </c>
      <c r="I11" s="33"/>
    </row>
    <row r="12" spans="1:9">
      <c r="A12" s="1">
        <v>9</v>
      </c>
      <c r="B12" s="2" t="s">
        <v>10</v>
      </c>
      <c r="C12" s="3">
        <v>128</v>
      </c>
      <c r="D12" s="4" t="s">
        <v>6</v>
      </c>
      <c r="E12" s="5">
        <v>1186</v>
      </c>
      <c r="F12" s="7">
        <v>1251</v>
      </c>
      <c r="G12" s="28">
        <f t="shared" si="0"/>
        <v>-65</v>
      </c>
      <c r="H12" s="32">
        <f t="shared" si="1"/>
        <v>-5.1958433253397285</v>
      </c>
      <c r="I12" s="33"/>
    </row>
    <row r="13" spans="1:9">
      <c r="A13" s="1">
        <v>10</v>
      </c>
      <c r="B13" s="2" t="s">
        <v>7</v>
      </c>
      <c r="C13" s="3">
        <v>12</v>
      </c>
      <c r="D13" s="4" t="s">
        <v>6</v>
      </c>
      <c r="E13" s="5">
        <v>3665</v>
      </c>
      <c r="F13" s="7">
        <v>4992</v>
      </c>
      <c r="G13" s="28">
        <f t="shared" si="0"/>
        <v>-1327</v>
      </c>
      <c r="H13" s="32">
        <f t="shared" si="1"/>
        <v>-26.582532051282055</v>
      </c>
      <c r="I13" s="31"/>
    </row>
    <row r="14" spans="1:9">
      <c r="A14" s="1">
        <v>11</v>
      </c>
      <c r="B14" s="2" t="s">
        <v>11</v>
      </c>
      <c r="C14" s="8">
        <v>9.1999999999999993</v>
      </c>
      <c r="D14" s="4" t="s">
        <v>6</v>
      </c>
      <c r="E14" s="5">
        <v>4046</v>
      </c>
      <c r="F14" s="7">
        <v>4425</v>
      </c>
      <c r="G14" s="28">
        <f t="shared" si="0"/>
        <v>-379</v>
      </c>
      <c r="H14" s="32">
        <f t="shared" si="1"/>
        <v>-8.5649717514124291</v>
      </c>
      <c r="I14" s="31"/>
    </row>
    <row r="15" spans="1:9">
      <c r="A15" s="1">
        <v>12</v>
      </c>
      <c r="B15" s="2" t="s">
        <v>7</v>
      </c>
      <c r="C15" s="3">
        <v>2</v>
      </c>
      <c r="D15" s="4" t="s">
        <v>6</v>
      </c>
      <c r="E15" s="5">
        <v>3665</v>
      </c>
      <c r="F15" s="7">
        <v>4992</v>
      </c>
      <c r="G15" s="28">
        <f t="shared" si="0"/>
        <v>-1327</v>
      </c>
      <c r="H15" s="32">
        <f t="shared" si="1"/>
        <v>-26.582532051282055</v>
      </c>
      <c r="I15" s="31"/>
    </row>
    <row r="16" spans="1:9">
      <c r="A16" s="1">
        <v>13</v>
      </c>
      <c r="B16" s="2" t="s">
        <v>12</v>
      </c>
      <c r="C16" s="3">
        <v>33</v>
      </c>
      <c r="D16" s="4" t="s">
        <v>6</v>
      </c>
      <c r="E16" s="5">
        <v>8332</v>
      </c>
      <c r="F16" s="7">
        <v>9045</v>
      </c>
      <c r="G16" s="28">
        <f t="shared" si="0"/>
        <v>-713</v>
      </c>
      <c r="H16" s="32">
        <f t="shared" si="1"/>
        <v>-7.8828081813156441</v>
      </c>
      <c r="I16" s="31"/>
    </row>
    <row r="17" spans="1:9">
      <c r="A17" s="1">
        <v>14</v>
      </c>
      <c r="B17" s="2" t="s">
        <v>13</v>
      </c>
      <c r="C17" s="3">
        <v>15</v>
      </c>
      <c r="D17" s="4" t="s">
        <v>6</v>
      </c>
      <c r="E17" s="5">
        <v>8106</v>
      </c>
      <c r="F17" s="7">
        <v>9317</v>
      </c>
      <c r="G17" s="28">
        <f t="shared" si="0"/>
        <v>-1211</v>
      </c>
      <c r="H17" s="32">
        <f t="shared" si="1"/>
        <v>-12.997746055597295</v>
      </c>
      <c r="I17" s="31"/>
    </row>
    <row r="18" spans="1:9">
      <c r="A18" s="1">
        <v>15</v>
      </c>
      <c r="B18" s="2" t="s">
        <v>14</v>
      </c>
      <c r="C18" s="3">
        <v>12</v>
      </c>
      <c r="D18" s="4" t="s">
        <v>6</v>
      </c>
      <c r="E18" s="5">
        <v>4229</v>
      </c>
      <c r="F18" s="7">
        <v>5842</v>
      </c>
      <c r="G18" s="28">
        <f t="shared" si="0"/>
        <v>-1613</v>
      </c>
      <c r="H18" s="32">
        <f t="shared" si="1"/>
        <v>-27.610407394727833</v>
      </c>
      <c r="I18" s="31"/>
    </row>
    <row r="19" spans="1:9">
      <c r="A19" s="1">
        <v>16</v>
      </c>
      <c r="B19" s="2" t="s">
        <v>15</v>
      </c>
      <c r="C19" s="3">
        <v>9</v>
      </c>
      <c r="D19" s="4" t="s">
        <v>6</v>
      </c>
      <c r="E19" s="5">
        <v>9371</v>
      </c>
      <c r="F19" s="7">
        <v>12491</v>
      </c>
      <c r="G19" s="28">
        <f t="shared" si="0"/>
        <v>-3120</v>
      </c>
      <c r="H19" s="32">
        <f t="shared" si="1"/>
        <v>-24.97798414858698</v>
      </c>
      <c r="I19" s="31"/>
    </row>
    <row r="20" spans="1:9">
      <c r="A20" s="9">
        <v>17</v>
      </c>
      <c r="B20" s="10" t="s">
        <v>16</v>
      </c>
      <c r="C20" s="11">
        <v>12</v>
      </c>
      <c r="D20" s="12" t="s">
        <v>6</v>
      </c>
      <c r="E20" s="13">
        <v>11365</v>
      </c>
      <c r="F20" s="14">
        <v>14514</v>
      </c>
      <c r="G20" s="29">
        <f t="shared" si="0"/>
        <v>-3149</v>
      </c>
      <c r="H20" s="32">
        <f t="shared" si="1"/>
        <v>-21.696293234118784</v>
      </c>
      <c r="I20" s="34" t="s">
        <v>35</v>
      </c>
    </row>
    <row r="21" spans="1:9">
      <c r="A21" s="1">
        <v>18</v>
      </c>
      <c r="B21" s="2" t="s">
        <v>17</v>
      </c>
      <c r="C21" s="3">
        <v>5</v>
      </c>
      <c r="D21" s="4" t="s">
        <v>6</v>
      </c>
      <c r="E21" s="5">
        <v>4867</v>
      </c>
      <c r="F21" s="7">
        <v>5686</v>
      </c>
      <c r="G21" s="28">
        <f t="shared" si="0"/>
        <v>-819</v>
      </c>
      <c r="H21" s="32">
        <f t="shared" si="1"/>
        <v>-14.403798804080198</v>
      </c>
      <c r="I21" s="31"/>
    </row>
    <row r="22" spans="1:9">
      <c r="A22" s="1">
        <v>19</v>
      </c>
      <c r="B22" s="2" t="s">
        <v>18</v>
      </c>
      <c r="C22" s="3">
        <v>8</v>
      </c>
      <c r="D22" s="4" t="s">
        <v>6</v>
      </c>
      <c r="E22" s="5">
        <v>6556</v>
      </c>
      <c r="F22" s="7">
        <v>10552</v>
      </c>
      <c r="G22" s="28">
        <f t="shared" si="0"/>
        <v>-3996</v>
      </c>
      <c r="H22" s="32">
        <f t="shared" si="1"/>
        <v>-37.869598180439731</v>
      </c>
      <c r="I22" s="31"/>
    </row>
    <row r="23" spans="1:9">
      <c r="A23" s="1">
        <v>20</v>
      </c>
      <c r="B23" s="2" t="s">
        <v>19</v>
      </c>
      <c r="C23" s="3">
        <v>37</v>
      </c>
      <c r="D23" s="4" t="s">
        <v>6</v>
      </c>
      <c r="E23" s="5">
        <v>8568</v>
      </c>
      <c r="F23" s="7">
        <v>9621</v>
      </c>
      <c r="G23" s="28">
        <f t="shared" si="0"/>
        <v>-1053</v>
      </c>
      <c r="H23" s="32">
        <f t="shared" si="1"/>
        <v>-10.944808231992516</v>
      </c>
      <c r="I23" s="31"/>
    </row>
    <row r="24" spans="1:9">
      <c r="A24" s="1">
        <v>21</v>
      </c>
      <c r="B24" s="2" t="s">
        <v>20</v>
      </c>
      <c r="C24" s="3">
        <v>23</v>
      </c>
      <c r="D24" s="4" t="s">
        <v>6</v>
      </c>
      <c r="E24" s="5">
        <v>8568</v>
      </c>
      <c r="F24" s="7">
        <v>9621</v>
      </c>
      <c r="G24" s="28">
        <f t="shared" si="0"/>
        <v>-1053</v>
      </c>
      <c r="H24" s="32">
        <f t="shared" si="1"/>
        <v>-10.944808231992516</v>
      </c>
      <c r="I24" s="31"/>
    </row>
    <row r="25" spans="1:9">
      <c r="A25" s="1">
        <v>22</v>
      </c>
      <c r="B25" s="2" t="s">
        <v>21</v>
      </c>
      <c r="C25" s="3">
        <v>32</v>
      </c>
      <c r="D25" s="4" t="s">
        <v>6</v>
      </c>
      <c r="E25" s="5">
        <v>17276</v>
      </c>
      <c r="F25" s="7">
        <v>17792</v>
      </c>
      <c r="G25" s="28">
        <f t="shared" si="0"/>
        <v>-516</v>
      </c>
      <c r="H25" s="32">
        <f t="shared" si="1"/>
        <v>-2.9001798561151078</v>
      </c>
      <c r="I25" s="31"/>
    </row>
    <row r="26" spans="1:9">
      <c r="A26" s="1">
        <v>23</v>
      </c>
      <c r="B26" s="2" t="s">
        <v>22</v>
      </c>
      <c r="C26" s="3">
        <v>15</v>
      </c>
      <c r="D26" s="4" t="s">
        <v>6</v>
      </c>
      <c r="E26" s="5">
        <v>10768</v>
      </c>
      <c r="F26" s="7">
        <v>11253</v>
      </c>
      <c r="G26" s="28">
        <f t="shared" si="0"/>
        <v>-485</v>
      </c>
      <c r="H26" s="32">
        <f t="shared" si="1"/>
        <v>-4.3099617879676533</v>
      </c>
      <c r="I26" s="31"/>
    </row>
    <row r="27" spans="1:9">
      <c r="A27" s="1">
        <v>24</v>
      </c>
      <c r="B27" s="2" t="s">
        <v>22</v>
      </c>
      <c r="C27" s="3">
        <v>12</v>
      </c>
      <c r="D27" s="4" t="s">
        <v>6</v>
      </c>
      <c r="E27" s="5">
        <v>9789</v>
      </c>
      <c r="F27" s="7">
        <v>11253</v>
      </c>
      <c r="G27" s="28">
        <f t="shared" si="0"/>
        <v>-1464</v>
      </c>
      <c r="H27" s="32">
        <f t="shared" si="1"/>
        <v>-13.009864036256999</v>
      </c>
      <c r="I27" s="31"/>
    </row>
    <row r="28" spans="1:9">
      <c r="A28" s="1">
        <v>25</v>
      </c>
      <c r="B28" s="2" t="s">
        <v>23</v>
      </c>
      <c r="C28" s="3">
        <v>5</v>
      </c>
      <c r="D28" s="4" t="s">
        <v>6</v>
      </c>
      <c r="E28" s="5">
        <v>11659</v>
      </c>
      <c r="F28" s="7">
        <v>13401</v>
      </c>
      <c r="G28" s="28">
        <f t="shared" si="0"/>
        <v>-1742</v>
      </c>
      <c r="H28" s="32">
        <f t="shared" si="1"/>
        <v>-12.999029923140066</v>
      </c>
      <c r="I28" s="31"/>
    </row>
    <row r="29" spans="1:9">
      <c r="A29" s="1">
        <v>26</v>
      </c>
      <c r="B29" s="2" t="s">
        <v>24</v>
      </c>
      <c r="C29" s="3">
        <v>12</v>
      </c>
      <c r="D29" s="4" t="s">
        <v>6</v>
      </c>
      <c r="E29" s="5">
        <v>10597</v>
      </c>
      <c r="F29" s="7">
        <v>10345</v>
      </c>
      <c r="G29" s="28">
        <f t="shared" si="0"/>
        <v>252</v>
      </c>
      <c r="H29" s="32">
        <f t="shared" si="1"/>
        <v>2.4359594006766554</v>
      </c>
      <c r="I29" s="31"/>
    </row>
    <row r="30" spans="1:9">
      <c r="A30" s="1">
        <v>27</v>
      </c>
      <c r="B30" s="2" t="s">
        <v>25</v>
      </c>
      <c r="C30" s="3">
        <v>11</v>
      </c>
      <c r="D30" s="4" t="s">
        <v>6</v>
      </c>
      <c r="E30" s="5">
        <v>9490</v>
      </c>
      <c r="F30" s="7">
        <v>10819</v>
      </c>
      <c r="G30" s="28">
        <f t="shared" si="0"/>
        <v>-1329</v>
      </c>
      <c r="H30" s="32">
        <f t="shared" si="1"/>
        <v>-12.283944911729366</v>
      </c>
      <c r="I30" s="31"/>
    </row>
    <row r="31" spans="1:9">
      <c r="A31" s="1">
        <v>28</v>
      </c>
      <c r="B31" s="2" t="s">
        <v>26</v>
      </c>
      <c r="C31" s="3">
        <v>11</v>
      </c>
      <c r="D31" s="4" t="s">
        <v>6</v>
      </c>
      <c r="E31" s="5">
        <v>12491</v>
      </c>
      <c r="F31" s="7">
        <v>7530</v>
      </c>
      <c r="G31" s="28">
        <f t="shared" si="0"/>
        <v>4961</v>
      </c>
      <c r="H31" s="32">
        <f t="shared" si="1"/>
        <v>65.883134130146075</v>
      </c>
      <c r="I31" s="31"/>
    </row>
    <row r="32" spans="1:9">
      <c r="A32" s="1">
        <v>29</v>
      </c>
      <c r="B32" s="2" t="s">
        <v>27</v>
      </c>
      <c r="C32" s="3">
        <v>5</v>
      </c>
      <c r="D32" s="4" t="s">
        <v>6</v>
      </c>
      <c r="E32" s="5">
        <v>12905</v>
      </c>
      <c r="F32" s="7">
        <v>14811</v>
      </c>
      <c r="G32" s="28">
        <f t="shared" si="0"/>
        <v>-1906</v>
      </c>
      <c r="H32" s="32">
        <f t="shared" si="1"/>
        <v>-12.868813719532779</v>
      </c>
      <c r="I32" s="31"/>
    </row>
    <row r="33" spans="1:9">
      <c r="A33" s="1">
        <v>30</v>
      </c>
      <c r="B33" s="2" t="s">
        <v>28</v>
      </c>
      <c r="C33" s="3">
        <v>16</v>
      </c>
      <c r="D33" s="4" t="s">
        <v>6</v>
      </c>
      <c r="E33" s="5">
        <v>6420</v>
      </c>
      <c r="F33" s="7">
        <v>7378</v>
      </c>
      <c r="G33" s="28">
        <f t="shared" si="0"/>
        <v>-958</v>
      </c>
      <c r="H33" s="32">
        <f t="shared" si="1"/>
        <v>-12.984548658172946</v>
      </c>
      <c r="I33" s="31"/>
    </row>
    <row r="34" spans="1:9">
      <c r="A34" s="1">
        <v>31</v>
      </c>
      <c r="B34" s="2" t="s">
        <v>29</v>
      </c>
      <c r="C34" s="3">
        <v>21</v>
      </c>
      <c r="D34" s="21" t="s">
        <v>6</v>
      </c>
      <c r="E34" s="22">
        <v>4864</v>
      </c>
      <c r="F34" s="6">
        <v>5590</v>
      </c>
      <c r="G34" s="28">
        <f t="shared" si="0"/>
        <v>-726</v>
      </c>
      <c r="H34" s="32">
        <f t="shared" si="1"/>
        <v>-12.98747763864043</v>
      </c>
      <c r="I34" s="31"/>
    </row>
    <row r="35" spans="1:9">
      <c r="A35" s="15"/>
      <c r="B35" s="16"/>
      <c r="C35" s="19"/>
      <c r="D35" s="23"/>
      <c r="E35" s="23"/>
      <c r="F35" s="7"/>
      <c r="G35" s="28"/>
      <c r="H35" s="31"/>
      <c r="I35" s="31"/>
    </row>
    <row r="36" spans="1:9">
      <c r="A36" s="50" t="s">
        <v>30</v>
      </c>
      <c r="B36" s="51"/>
      <c r="C36" s="20">
        <v>737</v>
      </c>
      <c r="D36" s="24"/>
      <c r="E36" s="25">
        <f>SUM(E4:E35)</f>
        <v>210954</v>
      </c>
      <c r="F36" s="26">
        <f>SUM(F4:F35)</f>
        <v>240577</v>
      </c>
      <c r="G36" s="30">
        <f>E36-F36</f>
        <v>-29623</v>
      </c>
      <c r="H36" s="31"/>
      <c r="I36" s="31"/>
    </row>
  </sheetData>
  <mergeCells count="8">
    <mergeCell ref="F2:F3"/>
    <mergeCell ref="G2:G3"/>
    <mergeCell ref="A36:B36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2024-12-30T10:15:23Z</dcterms:created>
  <dcterms:modified xsi:type="dcterms:W3CDTF">2024-12-30T11:26:17Z</dcterms:modified>
</cp:coreProperties>
</file>