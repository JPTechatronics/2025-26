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2" l="1"/>
  <c r="E5" i="2"/>
  <c r="E4" i="2"/>
  <c r="E3" i="2"/>
  <c r="G7" i="2" s="1"/>
  <c r="E8" i="2" s="1"/>
  <c r="E2" i="2"/>
  <c r="E10" i="1"/>
  <c r="E3" i="1"/>
  <c r="E4" i="1"/>
  <c r="E8" i="1"/>
  <c r="E2" i="1"/>
  <c r="E6" i="1" l="1"/>
  <c r="E7" i="1" s="1"/>
  <c r="E9" i="1" s="1"/>
  <c r="E11" i="1" s="1"/>
  <c r="E7" i="2"/>
  <c r="E9" i="2" s="1"/>
</calcChain>
</file>

<file path=xl/sharedStrings.xml><?xml version="1.0" encoding="utf-8"?>
<sst xmlns="http://schemas.openxmlformats.org/spreadsheetml/2006/main" count="26" uniqueCount="13">
  <si>
    <t>Sr. No</t>
  </si>
  <si>
    <t>Item Description</t>
  </si>
  <si>
    <t>Qty</t>
  </si>
  <si>
    <t>Price</t>
  </si>
  <si>
    <t>Amount</t>
  </si>
  <si>
    <t>Super Light Imbrodar (32 Pcs)</t>
  </si>
  <si>
    <t>Dark Imbrodar (7 Pcs)</t>
  </si>
  <si>
    <t>Armani Brown (2 Pcs)</t>
  </si>
  <si>
    <t>TOTAL</t>
  </si>
  <si>
    <t>GST 18%</t>
  </si>
  <si>
    <t>GRAND TOTAL</t>
  </si>
  <si>
    <t>Loading, Packing</t>
  </si>
  <si>
    <t>One Set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</si>
</sst>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K17" sqref="K16:K17"/>
    </sheetView>
  </sheetViews>
  <sheetFormatPr defaultRowHeight="14.4" x14ac:dyDescent="0.3"/>
  <cols>
    <col min="1" max="1" width="8.88671875" style="2"/>
    <col min="2" max="2" width="23" style="2" customWidth="1"/>
    <col min="3" max="3" width="8.88671875" style="2"/>
    <col min="4" max="4" width="13.44140625" style="2" customWidth="1"/>
    <col min="5" max="5" width="7.6640625" style="2" customWidth="1"/>
    <col min="6" max="6" width="8.88671875" style="2"/>
    <col min="7" max="7" width="9.5546875" style="2" bestFit="1" customWidth="1"/>
    <col min="8" max="16384" width="8.88671875" style="2"/>
  </cols>
  <sheetData>
    <row r="1" spans="1:5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3">
        <v>1</v>
      </c>
      <c r="B2" s="3" t="s">
        <v>5</v>
      </c>
      <c r="C2" s="3">
        <v>220</v>
      </c>
      <c r="D2" s="3">
        <v>916.05600000000004</v>
      </c>
      <c r="E2" s="3">
        <f>C2*D2</f>
        <v>201532.32</v>
      </c>
    </row>
    <row r="3" spans="1:5" x14ac:dyDescent="0.3">
      <c r="A3" s="3">
        <v>2</v>
      </c>
      <c r="B3" s="3" t="s">
        <v>6</v>
      </c>
      <c r="C3" s="3">
        <v>250</v>
      </c>
      <c r="D3" s="3">
        <v>379.44799999999998</v>
      </c>
      <c r="E3" s="3">
        <f>C3*D3</f>
        <v>94862</v>
      </c>
    </row>
    <row r="4" spans="1:5" x14ac:dyDescent="0.3">
      <c r="A4" s="3">
        <v>3</v>
      </c>
      <c r="B4" s="3" t="s">
        <v>7</v>
      </c>
      <c r="C4" s="3">
        <v>250</v>
      </c>
      <c r="D4" s="3">
        <v>108.414</v>
      </c>
      <c r="E4" s="3">
        <f>C4*D4</f>
        <v>27103.5</v>
      </c>
    </row>
    <row r="5" spans="1:5" x14ac:dyDescent="0.3">
      <c r="A5" s="4" t="s">
        <v>8</v>
      </c>
      <c r="B5" s="5"/>
      <c r="C5" s="5"/>
      <c r="D5" s="6"/>
      <c r="E5" s="1">
        <f>SUM(E2:E4)</f>
        <v>323497.82</v>
      </c>
    </row>
    <row r="6" spans="1:5" x14ac:dyDescent="0.3">
      <c r="A6" s="4" t="s">
        <v>9</v>
      </c>
      <c r="B6" s="5"/>
      <c r="C6" s="5"/>
      <c r="D6" s="6"/>
      <c r="E6" s="1">
        <f>E5*18%</f>
        <v>58229.607599999996</v>
      </c>
    </row>
    <row r="7" spans="1:5" x14ac:dyDescent="0.3">
      <c r="A7" s="4" t="s">
        <v>10</v>
      </c>
      <c r="B7" s="5"/>
      <c r="C7" s="5"/>
      <c r="D7" s="6"/>
      <c r="E7" s="1">
        <f>SUM(E5:E6)</f>
        <v>381727.4276</v>
      </c>
    </row>
    <row r="8" spans="1:5" x14ac:dyDescent="0.3">
      <c r="A8" s="3">
        <v>1</v>
      </c>
      <c r="B8" s="3" t="s">
        <v>11</v>
      </c>
      <c r="C8" s="3"/>
      <c r="D8" s="3">
        <v>0</v>
      </c>
      <c r="E8" s="3">
        <f>C8*D8</f>
        <v>0</v>
      </c>
    </row>
    <row r="9" spans="1:5" x14ac:dyDescent="0.3">
      <c r="A9" s="3"/>
      <c r="B9" s="3"/>
      <c r="C9" s="3"/>
      <c r="D9" s="3"/>
      <c r="E9" s="1">
        <f>SUM(E7:E8)</f>
        <v>381727.4276</v>
      </c>
    </row>
    <row r="10" spans="1:5" x14ac:dyDescent="0.3">
      <c r="A10" s="3">
        <v>1</v>
      </c>
      <c r="B10" s="3" t="s">
        <v>12</v>
      </c>
      <c r="C10" s="3"/>
      <c r="D10" s="3">
        <v>0</v>
      </c>
      <c r="E10" s="3">
        <f>D10</f>
        <v>0</v>
      </c>
    </row>
    <row r="11" spans="1:5" x14ac:dyDescent="0.3">
      <c r="A11" s="3"/>
      <c r="B11" s="3"/>
      <c r="C11" s="3"/>
      <c r="D11" s="3"/>
      <c r="E11" s="1">
        <f>SUM(E9:E10)</f>
        <v>381727.4276</v>
      </c>
    </row>
  </sheetData>
  <mergeCells count="3">
    <mergeCell ref="A5:D5"/>
    <mergeCell ref="A6:D6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J5" sqref="J5"/>
    </sheetView>
  </sheetViews>
  <sheetFormatPr defaultRowHeight="14.4" x14ac:dyDescent="0.3"/>
  <cols>
    <col min="2" max="2" width="33.6640625" customWidth="1"/>
  </cols>
  <sheetData>
    <row r="1" spans="1:7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57.6" x14ac:dyDescent="0.3">
      <c r="A2" s="3">
        <v>1</v>
      </c>
      <c r="B2" s="3" t="s">
        <v>5</v>
      </c>
      <c r="C2" s="3">
        <v>220</v>
      </c>
      <c r="D2" s="3">
        <v>916.05600000000004</v>
      </c>
      <c r="E2" s="3">
        <f>C2*D2</f>
        <v>201532.32</v>
      </c>
      <c r="F2" s="2"/>
      <c r="G2" s="2"/>
    </row>
    <row r="3" spans="1:7" ht="43.2" x14ac:dyDescent="0.3">
      <c r="A3" s="3">
        <v>2</v>
      </c>
      <c r="B3" s="3" t="s">
        <v>6</v>
      </c>
      <c r="C3" s="3">
        <v>250</v>
      </c>
      <c r="D3" s="3">
        <v>379.44799999999998</v>
      </c>
      <c r="E3" s="3">
        <f>C3*D3</f>
        <v>94862</v>
      </c>
      <c r="F3" s="2"/>
      <c r="G3" s="2"/>
    </row>
    <row r="4" spans="1:7" ht="43.2" x14ac:dyDescent="0.3">
      <c r="A4" s="3">
        <v>3</v>
      </c>
      <c r="B4" s="3" t="s">
        <v>7</v>
      </c>
      <c r="C4" s="3">
        <v>250</v>
      </c>
      <c r="D4" s="3">
        <v>108.414</v>
      </c>
      <c r="E4" s="3">
        <f>C4*D4</f>
        <v>27103.5</v>
      </c>
      <c r="F4" s="2"/>
      <c r="G4" s="2"/>
    </row>
    <row r="5" spans="1:7" ht="28.8" x14ac:dyDescent="0.3">
      <c r="A5" s="3">
        <v>4</v>
      </c>
      <c r="B5" s="3" t="s">
        <v>11</v>
      </c>
      <c r="C5" s="3">
        <v>2</v>
      </c>
      <c r="D5" s="3">
        <v>1403</v>
      </c>
      <c r="E5" s="3">
        <f>C5*D5</f>
        <v>2806</v>
      </c>
      <c r="F5" s="2"/>
      <c r="G5" s="2"/>
    </row>
    <row r="6" spans="1:7" ht="28.8" x14ac:dyDescent="0.3">
      <c r="A6" s="3">
        <v>5</v>
      </c>
      <c r="B6" s="3" t="s">
        <v>12</v>
      </c>
      <c r="C6" s="3"/>
      <c r="D6" s="3">
        <v>10000</v>
      </c>
      <c r="E6" s="3">
        <f>D6</f>
        <v>10000</v>
      </c>
      <c r="F6" s="2"/>
      <c r="G6" s="2"/>
    </row>
    <row r="7" spans="1:7" x14ac:dyDescent="0.3">
      <c r="A7" s="4" t="s">
        <v>8</v>
      </c>
      <c r="B7" s="5"/>
      <c r="C7" s="5"/>
      <c r="D7" s="6"/>
      <c r="E7" s="1">
        <f>SUM(E2:E6)</f>
        <v>336303.82</v>
      </c>
      <c r="F7" s="2"/>
      <c r="G7" s="2">
        <f>E2+E3+E4</f>
        <v>323497.82</v>
      </c>
    </row>
    <row r="8" spans="1:7" x14ac:dyDescent="0.3">
      <c r="A8" s="4" t="s">
        <v>9</v>
      </c>
      <c r="B8" s="5"/>
      <c r="C8" s="5"/>
      <c r="D8" s="6"/>
      <c r="E8" s="1">
        <f>G7*18%</f>
        <v>58229.607599999996</v>
      </c>
      <c r="F8" s="2"/>
      <c r="G8" s="2"/>
    </row>
    <row r="9" spans="1:7" x14ac:dyDescent="0.3">
      <c r="A9" s="4" t="s">
        <v>10</v>
      </c>
      <c r="B9" s="5"/>
      <c r="C9" s="5"/>
      <c r="D9" s="6"/>
      <c r="E9" s="1">
        <f>SUM(E7:E8)</f>
        <v>394533.4276</v>
      </c>
      <c r="F9" s="2"/>
      <c r="G9" s="2"/>
    </row>
  </sheetData>
  <mergeCells count="3"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2024-04-25T12:09:40Z</dcterms:modified>
</cp:coreProperties>
</file>