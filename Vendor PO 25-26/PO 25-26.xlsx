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Vendor PO 25-26\"/>
    </mc:Choice>
  </mc:AlternateContent>
  <xr:revisionPtr revIDLastSave="0" documentId="13_ncr:1_{4E08AF8B-D9F4-47BB-9D75-62861F6FA1DE}" xr6:coauthVersionLast="47" xr6:coauthVersionMax="47" xr10:uidLastSave="{00000000-0000-0000-0000-000000000000}"/>
  <bookViews>
    <workbookView xWindow="-110" yWindow="-110" windowWidth="19420" windowHeight="10420" firstSheet="12" activeTab="15" xr2:uid="{0D5B12A0-08F7-4186-8F26-5AF5E0605719}"/>
  </bookViews>
  <sheets>
    <sheet name="Namrata 101" sheetId="1" r:id="rId1"/>
    <sheet name="Namrata 102" sheetId="2" r:id="rId2"/>
    <sheet name="CNZ 103" sheetId="3" r:id="rId3"/>
    <sheet name="Vantage 104" sheetId="4" r:id="rId4"/>
    <sheet name="Namrata 105" sheetId="6" r:id="rId5"/>
    <sheet name="Namrata 106" sheetId="7" r:id="rId6"/>
    <sheet name="Namrata 107" sheetId="8" r:id="rId7"/>
    <sheet name="CNZ 108" sheetId="9" r:id="rId8"/>
    <sheet name="Namrata 109" sheetId="10" r:id="rId9"/>
    <sheet name="Namrata A 201" sheetId="11" r:id="rId10"/>
    <sheet name="Namrata M 202" sheetId="14" r:id="rId11"/>
    <sheet name="CNZ 203" sheetId="13" r:id="rId12"/>
    <sheet name="Vantage 204" sheetId="12" r:id="rId13"/>
    <sheet name="Spraynoz Technologies 205" sheetId="15" r:id="rId14"/>
    <sheet name="Spraynoz Technologies 206" sheetId="16" r:id="rId15"/>
    <sheet name="207" sheetId="17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7" l="1"/>
  <c r="F6" i="17"/>
  <c r="F5" i="17"/>
  <c r="F4" i="17"/>
  <c r="G4" i="16"/>
  <c r="G5" i="16" s="1"/>
  <c r="F7" i="17" l="1"/>
  <c r="G6" i="16"/>
  <c r="G7" i="16" s="1"/>
  <c r="G4" i="15" l="1"/>
  <c r="G5" i="15" s="1"/>
  <c r="G7" i="15" l="1"/>
  <c r="G6" i="15"/>
  <c r="F5" i="14" l="1"/>
  <c r="F6" i="14"/>
  <c r="F7" i="14"/>
  <c r="F8" i="14" l="1"/>
  <c r="F4" i="14"/>
  <c r="F9" i="14" l="1"/>
  <c r="F10" i="14" s="1"/>
  <c r="G8" i="12" l="1"/>
  <c r="G6" i="12"/>
  <c r="F4" i="13"/>
  <c r="F5" i="13" s="1"/>
  <c r="G5" i="12"/>
  <c r="G4" i="12"/>
  <c r="F6" i="13" l="1"/>
  <c r="F7" i="13" s="1"/>
  <c r="G7" i="12"/>
  <c r="F6" i="11" l="1"/>
  <c r="F5" i="11"/>
  <c r="F4" i="11"/>
  <c r="F4" i="10"/>
  <c r="F5" i="10" s="1"/>
  <c r="F6" i="10" s="1"/>
  <c r="F6" i="9"/>
  <c r="F5" i="9"/>
  <c r="F4" i="9"/>
  <c r="F7" i="9" s="1"/>
  <c r="F7" i="8"/>
  <c r="F8" i="8" s="1"/>
  <c r="F6" i="8"/>
  <c r="F5" i="8"/>
  <c r="F4" i="8"/>
  <c r="F9" i="7"/>
  <c r="F7" i="7"/>
  <c r="F7" i="11" l="1"/>
  <c r="F8" i="11" s="1"/>
  <c r="F9" i="11" s="1"/>
  <c r="F7" i="10"/>
  <c r="F8" i="9"/>
  <c r="F9" i="9" s="1"/>
  <c r="F9" i="8"/>
  <c r="F6" i="7"/>
  <c r="F5" i="7"/>
  <c r="F4" i="7"/>
  <c r="F7" i="6"/>
  <c r="F4" i="6"/>
  <c r="F5" i="6" s="1"/>
  <c r="G4" i="4"/>
  <c r="G5" i="4" s="1"/>
  <c r="F6" i="3"/>
  <c r="F5" i="3"/>
  <c r="F4" i="3"/>
  <c r="F8" i="7" l="1"/>
  <c r="F6" i="6"/>
  <c r="F7" i="3"/>
  <c r="F8" i="3" s="1"/>
  <c r="F9" i="3" s="1"/>
  <c r="G6" i="4"/>
  <c r="G7" i="4" s="1"/>
  <c r="F10" i="2" l="1"/>
  <c r="F8" i="2"/>
  <c r="F5" i="2"/>
  <c r="F6" i="2"/>
  <c r="F7" i="2"/>
  <c r="F4" i="2"/>
  <c r="F9" i="1"/>
  <c r="F7" i="1"/>
  <c r="F5" i="1"/>
  <c r="F6" i="1"/>
  <c r="F4" i="1"/>
  <c r="F8" i="1" s="1"/>
  <c r="F9" i="2" l="1"/>
</calcChain>
</file>

<file path=xl/sharedStrings.xml><?xml version="1.0" encoding="utf-8"?>
<sst xmlns="http://schemas.openxmlformats.org/spreadsheetml/2006/main" count="225" uniqueCount="52">
  <si>
    <t>Date:</t>
  </si>
  <si>
    <t>SR. NO</t>
  </si>
  <si>
    <t>Part number</t>
  </si>
  <si>
    <t>Product Description</t>
  </si>
  <si>
    <t>Quantity</t>
  </si>
  <si>
    <t>Pricing Per Unit</t>
  </si>
  <si>
    <t>Total</t>
  </si>
  <si>
    <t>GST 18%</t>
  </si>
  <si>
    <t>Grand Total</t>
  </si>
  <si>
    <t>Purchase Order No.:101</t>
  </si>
  <si>
    <t>Screw Conveyor Bellow_Dia 224x4x500mm</t>
  </si>
  <si>
    <t>Screw Conveyor Bellow_Dia 174x4x500mm</t>
  </si>
  <si>
    <t>Bellow Butterfly-Valve 31 0x4x290mm</t>
  </si>
  <si>
    <t>BELLOW F. water hopper MT 1.0 IB</t>
  </si>
  <si>
    <t>Cement Hop. Bellow_Silic_ dia 205x4x400mm</t>
  </si>
  <si>
    <t>Discharge Chute Bellow_Di a 500x4x240mm</t>
  </si>
  <si>
    <t>Screw Conveyor Bellow_Dia 224x4x50</t>
  </si>
  <si>
    <t>23/4/2025</t>
  </si>
  <si>
    <t>Purchase Order No.:102</t>
  </si>
  <si>
    <t>Bearing f. Take up Housing UCT 215</t>
  </si>
  <si>
    <t>ROD END 20MM</t>
  </si>
  <si>
    <t>BEARING_TAKE UP HOUSING_UCT210</t>
  </si>
  <si>
    <t>Purchase Order No.:103</t>
  </si>
  <si>
    <t>Unit</t>
  </si>
  <si>
    <t>Cement_Dust_BP60_Dia 150flexible</t>
  </si>
  <si>
    <t>M</t>
  </si>
  <si>
    <t>Purchase Order No.:104</t>
  </si>
  <si>
    <t>Purchase Order No.:105</t>
  </si>
  <si>
    <t>Bellow Butterfly-Valve 310x4x290mm</t>
  </si>
  <si>
    <t>Purchase Order No.:106</t>
  </si>
  <si>
    <t>17/5/2025</t>
  </si>
  <si>
    <t>Bellow_Butterfly-Valve_31 0x4x400mm</t>
  </si>
  <si>
    <t>Purchase Order No.:107</t>
  </si>
  <si>
    <t>Purchase Order No.:108</t>
  </si>
  <si>
    <t>Purchase Order No.:109</t>
  </si>
  <si>
    <t>Discharge chute bellow Ø500x4x500</t>
  </si>
  <si>
    <t>Water Bellow_BP60_Dia 170 x4x300mm</t>
  </si>
  <si>
    <t>Screw conv. Bellow_Dia278 x500lg_MT3.0</t>
  </si>
  <si>
    <t>Cement_Dust_BP60_Dia 150 flexible</t>
  </si>
  <si>
    <t>DUSTFILTR BP60 DIA250mm F LEXIBLE</t>
  </si>
  <si>
    <t>Purchase Order No.:A 201</t>
  </si>
  <si>
    <t>Purchase Order No.: M 202</t>
  </si>
  <si>
    <t>Purchase Order No.:203</t>
  </si>
  <si>
    <t>Purchase Order No.:204</t>
  </si>
  <si>
    <t>Spray Nozel with flow capacity GPM at 40 PSI should be 39.85  presure bar should be maintained as per attachemnt</t>
  </si>
  <si>
    <t>Purchase Order No.:205</t>
  </si>
  <si>
    <t>Image</t>
  </si>
  <si>
    <t>Purchase Order No.:206</t>
  </si>
  <si>
    <t>17/7/2025</t>
  </si>
  <si>
    <t>Purchase Order No.: A 207</t>
  </si>
  <si>
    <t>/8/2025</t>
  </si>
  <si>
    <t>Screw Conveyor Bellow_Dia 174x4x5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</si>
</sst>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Helvetica-Bold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 wrapText="1"/>
    </xf>
    <xf numFmtId="0" fontId="2" fillId="0" borderId="0" xfId="0" applyFont="1" applyAlignment="1"/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1" xfId="0" applyBorder="1"/>
    <xf numFmtId="0" fontId="0" fillId="0" borderId="21" xfId="0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0" fillId="0" borderId="24" xfId="0" applyBorder="1"/>
    <xf numFmtId="0" fontId="0" fillId="0" borderId="2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6" xfId="0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3" fontId="0" fillId="0" borderId="0" xfId="1" applyFont="1" applyAlignment="1"/>
    <xf numFmtId="43" fontId="3" fillId="0" borderId="14" xfId="1" applyFont="1" applyBorder="1" applyAlignment="1">
      <alignment horizontal="center" vertical="center"/>
    </xf>
    <xf numFmtId="43" fontId="4" fillId="0" borderId="26" xfId="1" applyFont="1" applyBorder="1" applyAlignment="1">
      <alignment horizontal="center" vertical="center"/>
    </xf>
    <xf numFmtId="43" fontId="4" fillId="0" borderId="27" xfId="1" applyFont="1" applyBorder="1" applyAlignment="1">
      <alignment horizontal="center" vertical="center"/>
    </xf>
    <xf numFmtId="43" fontId="4" fillId="0" borderId="28" xfId="1" applyFont="1" applyBorder="1" applyAlignment="1">
      <alignment horizontal="center" vertical="center"/>
    </xf>
    <xf numFmtId="43" fontId="3" fillId="0" borderId="10" xfId="1" applyFont="1" applyBorder="1" applyAlignment="1">
      <alignment horizontal="center" vertical="center"/>
    </xf>
    <xf numFmtId="43" fontId="0" fillId="0" borderId="0" xfId="1" applyFont="1"/>
    <xf numFmtId="43" fontId="4" fillId="0" borderId="6" xfId="1" applyFon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0" fillId="0" borderId="21" xfId="0" applyFill="1" applyBorder="1" applyAlignment="1">
      <alignment horizontal="center" vertical="center" wrapText="1"/>
    </xf>
    <xf numFmtId="43" fontId="4" fillId="0" borderId="33" xfId="1" applyFont="1" applyBorder="1" applyAlignment="1">
      <alignment horizontal="center" vertical="center"/>
    </xf>
    <xf numFmtId="43" fontId="4" fillId="0" borderId="34" xfId="1" applyFont="1" applyBorder="1" applyAlignment="1">
      <alignment horizontal="center" vertical="center"/>
    </xf>
    <xf numFmtId="0" fontId="0" fillId="0" borderId="24" xfId="0" applyFill="1" applyBorder="1" applyAlignment="1">
      <alignment horizontal="center" vertical="center" wrapText="1"/>
    </xf>
    <xf numFmtId="43" fontId="4" fillId="0" borderId="35" xfId="1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6" fillId="0" borderId="2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7" xfId="0" applyBorder="1"/>
    <xf numFmtId="0" fontId="0" fillId="0" borderId="38" xfId="0" applyBorder="1" applyAlignment="1">
      <alignment horizontal="center" vertical="center"/>
    </xf>
    <xf numFmtId="0" fontId="0" fillId="0" borderId="39" xfId="0" applyFill="1" applyBorder="1" applyAlignment="1">
      <alignment horizontal="center" vertical="center" wrapText="1"/>
    </xf>
    <xf numFmtId="43" fontId="4" fillId="0" borderId="39" xfId="1" applyFont="1" applyBorder="1" applyAlignment="1">
      <alignment horizontal="center" vertical="center"/>
    </xf>
    <xf numFmtId="43" fontId="3" fillId="0" borderId="9" xfId="1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1" xfId="0" applyBorder="1" applyAlignment="1">
      <alignment horizontal="center" vertical="center" wrapText="1"/>
    </xf>
    <xf numFmtId="43" fontId="4" fillId="0" borderId="42" xfId="1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43" fontId="4" fillId="0" borderId="44" xfId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1" applyNumberFormat="1" applyFont="1"/>
    <xf numFmtId="0" fontId="3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14" fontId="0" fillId="0" borderId="0" xfId="1" applyNumberFormat="1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43" fontId="0" fillId="0" borderId="0" xfId="1" applyFont="1" applyAlignment="1">
      <alignment wrapText="1"/>
    </xf>
    <xf numFmtId="0" fontId="1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43" fontId="4" fillId="0" borderId="44" xfId="1" applyFont="1" applyBorder="1" applyAlignment="1">
      <alignment horizontal="center" vertical="center" wrapText="1"/>
    </xf>
    <xf numFmtId="43" fontId="3" fillId="0" borderId="10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457200</xdr:colOff>
      <xdr:row>3</xdr:row>
      <xdr:rowOff>44450</xdr:rowOff>
    </xdr:from>
    <xdr:to>
      <xdr:col>3</xdr:col>
      <xdr:colOff>1809750</xdr:colOff>
      <xdr:row>3</xdr:row>
      <xdr:rowOff>696595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61270E-55D5-4F45-A8D6-9C4B23C9E01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850" y="660400"/>
          <a:ext cx="1352550" cy="6521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63500</xdr:colOff>
      <xdr:row>3</xdr:row>
      <xdr:rowOff>101600</xdr:rowOff>
    </xdr:from>
    <xdr:to>
      <xdr:col>3</xdr:col>
      <xdr:colOff>1263650</xdr:colOff>
      <xdr:row>3</xdr:row>
      <xdr:rowOff>810895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F9A7CE-9B2C-4545-8EA5-A3774862A30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5300" y="901700"/>
          <a:ext cx="1200150" cy="7092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92D4C-D258-4696-AF86-9C6918C53BDA}">
  <dimension ref="A1:F9"/>
  <sheetViews>
    <sheetView workbookViewId="0">
      <selection sqref="A1:F9"/>
    </sheetView>
  </sheetViews>
  <sheetFormatPr defaultRowHeight="14.5"/>
  <cols>
    <col min="2" max="2" width="11.453125" bestFit="1" customWidth="1"/>
    <col min="3" max="3" width="36.90625" bestFit="1" customWidth="1"/>
    <col min="4" max="4" width="8.1796875" bestFit="1" customWidth="1"/>
    <col min="5" max="5" width="13.7265625" bestFit="1" customWidth="1"/>
  </cols>
  <sheetData>
    <row r="1" spans="1:6" ht="18.5">
      <c r="A1" s="111" t="s">
        <v>9</v>
      </c>
      <c r="B1" s="111"/>
      <c r="C1" s="111"/>
      <c r="D1" s="1" t="s">
        <v>0</v>
      </c>
      <c r="E1" s="2">
        <v>45692</v>
      </c>
    </row>
    <row r="2" spans="1:6" ht="15" thickBot="1">
      <c r="B2" s="3"/>
    </row>
    <row r="3" spans="1:6" ht="15" thickBot="1">
      <c r="A3" s="4" t="s">
        <v>1</v>
      </c>
      <c r="B3" s="5" t="s">
        <v>2</v>
      </c>
      <c r="C3" s="4" t="s">
        <v>3</v>
      </c>
      <c r="D3" s="6" t="s">
        <v>4</v>
      </c>
      <c r="E3" s="7" t="s">
        <v>5</v>
      </c>
      <c r="F3" s="4" t="s">
        <v>6</v>
      </c>
    </row>
    <row r="4" spans="1:6">
      <c r="A4" s="8">
        <v>1</v>
      </c>
      <c r="B4" s="14">
        <v>616026</v>
      </c>
      <c r="C4" s="14" t="s">
        <v>10</v>
      </c>
      <c r="D4" s="14">
        <v>50</v>
      </c>
      <c r="E4" s="16">
        <v>2245</v>
      </c>
      <c r="F4" s="9">
        <f t="shared" ref="F4:F6" si="0">D4*E4</f>
        <v>112250</v>
      </c>
    </row>
    <row r="5" spans="1:6">
      <c r="A5" s="13">
        <v>2</v>
      </c>
      <c r="B5" s="14">
        <v>615698</v>
      </c>
      <c r="C5" s="14" t="s">
        <v>11</v>
      </c>
      <c r="D5" s="14">
        <v>10</v>
      </c>
      <c r="E5" s="16">
        <v>1880</v>
      </c>
      <c r="F5" s="9">
        <f t="shared" si="0"/>
        <v>18800</v>
      </c>
    </row>
    <row r="6" spans="1:6" ht="15" thickBot="1">
      <c r="A6" s="12">
        <v>3</v>
      </c>
      <c r="B6" s="15">
        <v>780236</v>
      </c>
      <c r="C6" s="15" t="s">
        <v>12</v>
      </c>
      <c r="D6" s="15">
        <v>5</v>
      </c>
      <c r="E6" s="16">
        <v>1700</v>
      </c>
      <c r="F6" s="9">
        <f t="shared" si="0"/>
        <v>8500</v>
      </c>
    </row>
    <row r="7" spans="1:6" ht="15" thickBot="1">
      <c r="A7" s="112" t="s">
        <v>6</v>
      </c>
      <c r="B7" s="113"/>
      <c r="C7" s="113"/>
      <c r="D7" s="113"/>
      <c r="E7" s="114"/>
      <c r="F7" s="10">
        <f>SUM(F4:F6)</f>
        <v>139550</v>
      </c>
    </row>
    <row r="8" spans="1:6" ht="15" thickBot="1">
      <c r="A8" s="112" t="s">
        <v>7</v>
      </c>
      <c r="B8" s="113"/>
      <c r="C8" s="113"/>
      <c r="D8" s="113"/>
      <c r="E8" s="114"/>
      <c r="F8" s="11">
        <f>F7*18%</f>
        <v>25119</v>
      </c>
    </row>
    <row r="9" spans="1:6" ht="15" thickBot="1">
      <c r="A9" s="112" t="s">
        <v>8</v>
      </c>
      <c r="B9" s="113"/>
      <c r="C9" s="113"/>
      <c r="D9" s="113"/>
      <c r="E9" s="114"/>
      <c r="F9" s="11">
        <f>SUM(F7:F8)</f>
        <v>164669</v>
      </c>
    </row>
  </sheetData>
  <mergeCells count="4">
    <mergeCell ref="A1:C1"/>
    <mergeCell ref="A7:E7"/>
    <mergeCell ref="A8:E8"/>
    <mergeCell ref="A9:E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B96EE-AFCC-4991-AF96-BA52DE7F1970}">
  <dimension ref="A1:F10"/>
  <sheetViews>
    <sheetView workbookViewId="0">
      <selection sqref="A1:F10"/>
    </sheetView>
  </sheetViews>
  <sheetFormatPr defaultRowHeight="14.5"/>
  <cols>
    <col min="2" max="2" width="11.453125" style="19" bestFit="1" customWidth="1"/>
    <col min="3" max="3" width="39" bestFit="1" customWidth="1"/>
    <col min="5" max="5" width="13.7265625" bestFit="1" customWidth="1"/>
    <col min="6" max="6" width="11.1796875" style="52" bestFit="1" customWidth="1"/>
  </cols>
  <sheetData>
    <row r="1" spans="1:6" ht="18.5">
      <c r="A1" s="111" t="s">
        <v>18</v>
      </c>
      <c r="B1" s="111"/>
      <c r="C1" s="111"/>
      <c r="D1" s="17" t="s">
        <v>0</v>
      </c>
      <c r="E1" s="2" t="s">
        <v>17</v>
      </c>
      <c r="F1" s="46"/>
    </row>
    <row r="2" spans="1:6" ht="15" thickBot="1">
      <c r="A2" s="18"/>
      <c r="C2" s="18"/>
      <c r="D2" s="18"/>
      <c r="E2" s="18"/>
      <c r="F2" s="46"/>
    </row>
    <row r="3" spans="1:6" ht="15" thickBot="1">
      <c r="A3" s="20" t="s">
        <v>1</v>
      </c>
      <c r="B3" s="21" t="s">
        <v>2</v>
      </c>
      <c r="C3" s="20" t="s">
        <v>3</v>
      </c>
      <c r="D3" s="22" t="s">
        <v>4</v>
      </c>
      <c r="E3" s="23" t="s">
        <v>5</v>
      </c>
      <c r="F3" s="47" t="s">
        <v>6</v>
      </c>
    </row>
    <row r="4" spans="1:6">
      <c r="A4" s="27">
        <v>1</v>
      </c>
      <c r="B4" s="29">
        <v>716663</v>
      </c>
      <c r="C4" s="28" t="s">
        <v>13</v>
      </c>
      <c r="D4" s="34">
        <v>10</v>
      </c>
      <c r="E4" s="37">
        <v>750</v>
      </c>
      <c r="F4" s="48">
        <f>E4*D4</f>
        <v>7500</v>
      </c>
    </row>
    <row r="5" spans="1:6">
      <c r="A5" s="30">
        <v>2</v>
      </c>
      <c r="B5" s="26">
        <v>630059</v>
      </c>
      <c r="C5" s="25" t="s">
        <v>14</v>
      </c>
      <c r="D5" s="35">
        <v>20</v>
      </c>
      <c r="E5" s="38">
        <v>1725</v>
      </c>
      <c r="F5" s="49">
        <f t="shared" ref="F5:F7" si="0">E5*D5</f>
        <v>34500</v>
      </c>
    </row>
    <row r="6" spans="1:6">
      <c r="A6" s="30">
        <v>3</v>
      </c>
      <c r="B6" s="26">
        <v>616039</v>
      </c>
      <c r="C6" s="25" t="s">
        <v>15</v>
      </c>
      <c r="D6" s="35">
        <v>40</v>
      </c>
      <c r="E6" s="38">
        <v>3100</v>
      </c>
      <c r="F6" s="49">
        <f t="shared" si="0"/>
        <v>124000</v>
      </c>
    </row>
    <row r="7" spans="1:6" ht="15" thickBot="1">
      <c r="A7" s="31">
        <v>4</v>
      </c>
      <c r="B7" s="33">
        <v>616026</v>
      </c>
      <c r="C7" s="32" t="s">
        <v>16</v>
      </c>
      <c r="D7" s="36">
        <v>35</v>
      </c>
      <c r="E7" s="39">
        <v>2245</v>
      </c>
      <c r="F7" s="50">
        <f t="shared" si="0"/>
        <v>78575</v>
      </c>
    </row>
    <row r="8" spans="1:6" ht="15" thickBot="1">
      <c r="A8" s="115" t="s">
        <v>6</v>
      </c>
      <c r="B8" s="116"/>
      <c r="C8" s="116"/>
      <c r="D8" s="116"/>
      <c r="E8" s="117"/>
      <c r="F8" s="51">
        <f>SUM(F4:F7)</f>
        <v>244575</v>
      </c>
    </row>
    <row r="9" spans="1:6" ht="15" thickBot="1">
      <c r="A9" s="112" t="s">
        <v>7</v>
      </c>
      <c r="B9" s="113"/>
      <c r="C9" s="113"/>
      <c r="D9" s="113"/>
      <c r="E9" s="114"/>
      <c r="F9" s="51">
        <f>F8*18%</f>
        <v>44023.5</v>
      </c>
    </row>
    <row r="10" spans="1:6" ht="15" thickBot="1">
      <c r="A10" s="112" t="s">
        <v>8</v>
      </c>
      <c r="B10" s="113"/>
      <c r="C10" s="113"/>
      <c r="D10" s="113"/>
      <c r="E10" s="114"/>
      <c r="F10" s="51">
        <f>SUM(F8:F9)</f>
        <v>288598.5</v>
      </c>
    </row>
  </sheetData>
  <mergeCells count="4">
    <mergeCell ref="A1:C1"/>
    <mergeCell ref="A8:E8"/>
    <mergeCell ref="A9:E9"/>
    <mergeCell ref="A10:E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6217-AA16-4228-A8E6-9AF086839505}">
  <dimension ref="A1:F9"/>
  <sheetViews>
    <sheetView workbookViewId="0">
      <selection sqref="A1:F9"/>
    </sheetView>
  </sheetViews>
  <sheetFormatPr defaultRowHeight="14.5"/>
  <cols>
    <col min="2" max="2" width="11.453125" bestFit="1" customWidth="1"/>
    <col min="3" max="3" width="34.1796875" bestFit="1" customWidth="1"/>
    <col min="5" max="5" width="13.7265625" bestFit="1" customWidth="1"/>
    <col min="6" max="6" width="11.1796875" style="52" bestFit="1" customWidth="1"/>
  </cols>
  <sheetData>
    <row r="1" spans="1:6" ht="18.5">
      <c r="A1" s="111" t="s">
        <v>22</v>
      </c>
      <c r="B1" s="111"/>
      <c r="C1" s="111"/>
      <c r="D1" s="1" t="s">
        <v>0</v>
      </c>
      <c r="E1" s="2" t="s">
        <v>17</v>
      </c>
    </row>
    <row r="2" spans="1:6" ht="15" thickBot="1">
      <c r="B2" s="3"/>
    </row>
    <row r="3" spans="1:6">
      <c r="A3" s="20" t="s">
        <v>1</v>
      </c>
      <c r="B3" s="21" t="s">
        <v>2</v>
      </c>
      <c r="C3" s="20" t="s">
        <v>3</v>
      </c>
      <c r="D3" s="22" t="s">
        <v>4</v>
      </c>
      <c r="E3" s="23" t="s">
        <v>5</v>
      </c>
      <c r="F3" s="47" t="s">
        <v>6</v>
      </c>
    </row>
    <row r="4" spans="1:6">
      <c r="A4" s="24">
        <v>1</v>
      </c>
      <c r="B4" s="40">
        <v>716334</v>
      </c>
      <c r="C4" s="40" t="s">
        <v>19</v>
      </c>
      <c r="D4" s="26">
        <v>24</v>
      </c>
      <c r="E4" s="41">
        <v>2950</v>
      </c>
      <c r="F4" s="53">
        <f>D4*E4</f>
        <v>70800</v>
      </c>
    </row>
    <row r="5" spans="1:6">
      <c r="A5" s="24">
        <v>2</v>
      </c>
      <c r="B5" s="40">
        <v>695947</v>
      </c>
      <c r="C5" s="40" t="s">
        <v>20</v>
      </c>
      <c r="D5" s="26">
        <v>120</v>
      </c>
      <c r="E5" s="41">
        <v>445</v>
      </c>
      <c r="F5" s="53">
        <f t="shared" ref="F5:F6" si="0">D5*E5</f>
        <v>53400</v>
      </c>
    </row>
    <row r="6" spans="1:6">
      <c r="A6" s="24">
        <v>3</v>
      </c>
      <c r="B6" s="40">
        <v>687254</v>
      </c>
      <c r="C6" s="40" t="s">
        <v>21</v>
      </c>
      <c r="D6" s="26">
        <v>34</v>
      </c>
      <c r="E6" s="41">
        <v>1250</v>
      </c>
      <c r="F6" s="53">
        <f t="shared" si="0"/>
        <v>42500</v>
      </c>
    </row>
    <row r="7" spans="1:6" ht="15" thickBot="1">
      <c r="A7" s="115" t="s">
        <v>6</v>
      </c>
      <c r="B7" s="116"/>
      <c r="C7" s="116"/>
      <c r="D7" s="116"/>
      <c r="E7" s="117"/>
      <c r="F7" s="51">
        <f>SUM(F4:F6)</f>
        <v>166700</v>
      </c>
    </row>
    <row r="8" spans="1:6" ht="15" thickBot="1">
      <c r="A8" s="112" t="s">
        <v>7</v>
      </c>
      <c r="B8" s="113"/>
      <c r="C8" s="113"/>
      <c r="D8" s="113"/>
      <c r="E8" s="114"/>
      <c r="F8" s="51">
        <f>F7*18%</f>
        <v>30006</v>
      </c>
    </row>
    <row r="9" spans="1:6" ht="15" thickBot="1">
      <c r="A9" s="112" t="s">
        <v>8</v>
      </c>
      <c r="B9" s="113"/>
      <c r="C9" s="113"/>
      <c r="D9" s="113"/>
      <c r="E9" s="114"/>
      <c r="F9" s="51">
        <f>SUM(F7:F8)</f>
        <v>196706</v>
      </c>
    </row>
  </sheetData>
  <mergeCells count="4">
    <mergeCell ref="A1:C1"/>
    <mergeCell ref="A7:E7"/>
    <mergeCell ref="A8:E8"/>
    <mergeCell ref="A9:E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8CCE4-BAFD-4ADB-B76C-3F59E67B63DC}">
  <dimension ref="A1:G7"/>
  <sheetViews>
    <sheetView workbookViewId="0">
      <selection activeCell="A5" sqref="A5:G7"/>
    </sheetView>
  </sheetViews>
  <sheetFormatPr defaultRowHeight="14.5"/>
  <cols>
    <col min="2" max="2" width="11.453125" bestFit="1" customWidth="1"/>
    <col min="3" max="3" width="34.36328125" bestFit="1" customWidth="1"/>
    <col min="4" max="4" width="8.1796875" bestFit="1" customWidth="1"/>
    <col min="6" max="6" width="13.7265625" bestFit="1" customWidth="1"/>
    <col min="7" max="7" width="10.1796875" style="52" bestFit="1" customWidth="1"/>
  </cols>
  <sheetData>
    <row r="1" spans="1:7" ht="18.5">
      <c r="A1" s="111" t="s">
        <v>26</v>
      </c>
      <c r="B1" s="111"/>
      <c r="C1" s="111"/>
      <c r="D1" s="17" t="s">
        <v>0</v>
      </c>
      <c r="E1" s="2" t="s">
        <v>17</v>
      </c>
      <c r="F1" s="18"/>
      <c r="G1" s="46"/>
    </row>
    <row r="2" spans="1:7" ht="15" thickBot="1">
      <c r="A2" s="18"/>
      <c r="B2" s="3"/>
      <c r="C2" s="18"/>
      <c r="D2" s="18"/>
      <c r="E2" s="18"/>
      <c r="F2" s="18"/>
      <c r="G2" s="46"/>
    </row>
    <row r="3" spans="1:7" ht="15" thickBot="1">
      <c r="A3" s="20" t="s">
        <v>1</v>
      </c>
      <c r="B3" s="21" t="s">
        <v>2</v>
      </c>
      <c r="C3" s="20" t="s">
        <v>3</v>
      </c>
      <c r="D3" s="22" t="s">
        <v>4</v>
      </c>
      <c r="E3" s="22" t="s">
        <v>23</v>
      </c>
      <c r="F3" s="23" t="s">
        <v>5</v>
      </c>
      <c r="G3" s="47" t="s">
        <v>6</v>
      </c>
    </row>
    <row r="4" spans="1:7" ht="15" thickBot="1">
      <c r="A4" s="42">
        <v>1</v>
      </c>
      <c r="B4" s="43">
        <v>635656</v>
      </c>
      <c r="C4" s="43" t="s">
        <v>24</v>
      </c>
      <c r="D4" s="44">
        <v>30</v>
      </c>
      <c r="E4" s="44" t="s">
        <v>25</v>
      </c>
      <c r="F4" s="45">
        <v>340</v>
      </c>
      <c r="G4" s="54">
        <f>F4*D4</f>
        <v>10200</v>
      </c>
    </row>
    <row r="5" spans="1:7" ht="15" thickBot="1">
      <c r="A5" s="115" t="s">
        <v>6</v>
      </c>
      <c r="B5" s="116"/>
      <c r="C5" s="116"/>
      <c r="D5" s="116"/>
      <c r="E5" s="116"/>
      <c r="F5" s="117"/>
      <c r="G5" s="51">
        <f>SUM(G4:G4)</f>
        <v>10200</v>
      </c>
    </row>
    <row r="6" spans="1:7" ht="15" thickBot="1">
      <c r="A6" s="112" t="s">
        <v>7</v>
      </c>
      <c r="B6" s="113"/>
      <c r="C6" s="113"/>
      <c r="D6" s="113"/>
      <c r="E6" s="113"/>
      <c r="F6" s="114"/>
      <c r="G6" s="51">
        <f>G5*18%</f>
        <v>1836</v>
      </c>
    </row>
    <row r="7" spans="1:7" ht="15" thickBot="1">
      <c r="A7" s="112" t="s">
        <v>8</v>
      </c>
      <c r="B7" s="113"/>
      <c r="C7" s="113"/>
      <c r="D7" s="113"/>
      <c r="E7" s="113"/>
      <c r="F7" s="114"/>
      <c r="G7" s="51">
        <f>SUM(G5:G6)</f>
        <v>12036</v>
      </c>
    </row>
  </sheetData>
  <mergeCells count="4">
    <mergeCell ref="A1:C1"/>
    <mergeCell ref="A5:F5"/>
    <mergeCell ref="A6:F6"/>
    <mergeCell ref="A7:F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0794E-295E-4B15-A279-FD2994F54705}">
  <dimension ref="A1:F7"/>
  <sheetViews>
    <sheetView workbookViewId="0">
      <selection sqref="A1:F7"/>
    </sheetView>
  </sheetViews>
  <sheetFormatPr defaultRowHeight="14.5"/>
  <cols>
    <col min="2" max="2" width="11.453125" bestFit="1" customWidth="1"/>
    <col min="3" max="3" width="32.08984375" bestFit="1" customWidth="1"/>
    <col min="5" max="5" width="13.7265625" bestFit="1" customWidth="1"/>
    <col min="6" max="6" width="10.1796875" bestFit="1" customWidth="1"/>
  </cols>
  <sheetData>
    <row r="1" spans="1:6" ht="18.5">
      <c r="A1" s="111" t="s">
        <v>27</v>
      </c>
      <c r="B1" s="111"/>
      <c r="C1" s="111"/>
      <c r="D1" s="17" t="s">
        <v>0</v>
      </c>
      <c r="E1" s="2">
        <v>45874</v>
      </c>
      <c r="F1" s="46"/>
    </row>
    <row r="2" spans="1:6" ht="15" thickBot="1">
      <c r="A2" s="18"/>
      <c r="B2" s="19"/>
      <c r="C2" s="18"/>
      <c r="D2" s="18"/>
      <c r="E2" s="18"/>
      <c r="F2" s="46"/>
    </row>
    <row r="3" spans="1:6" ht="15" thickBot="1">
      <c r="A3" s="20" t="s">
        <v>1</v>
      </c>
      <c r="B3" s="21" t="s">
        <v>2</v>
      </c>
      <c r="C3" s="20" t="s">
        <v>3</v>
      </c>
      <c r="D3" s="22" t="s">
        <v>4</v>
      </c>
      <c r="E3" s="23" t="s">
        <v>5</v>
      </c>
      <c r="F3" s="47" t="s">
        <v>6</v>
      </c>
    </row>
    <row r="4" spans="1:6">
      <c r="A4" s="27">
        <v>1</v>
      </c>
      <c r="B4" s="26">
        <v>780236</v>
      </c>
      <c r="C4" s="26" t="s">
        <v>28</v>
      </c>
      <c r="D4" s="26">
        <v>10</v>
      </c>
      <c r="E4" s="41">
        <v>1700</v>
      </c>
      <c r="F4" s="48">
        <f>E4*D4</f>
        <v>17000</v>
      </c>
    </row>
    <row r="5" spans="1:6" ht="15" thickBot="1">
      <c r="A5" s="115" t="s">
        <v>6</v>
      </c>
      <c r="B5" s="116"/>
      <c r="C5" s="116"/>
      <c r="D5" s="116"/>
      <c r="E5" s="117"/>
      <c r="F5" s="51">
        <f>SUM(F4:F4)</f>
        <v>17000</v>
      </c>
    </row>
    <row r="6" spans="1:6" ht="15" thickBot="1">
      <c r="A6" s="112" t="s">
        <v>7</v>
      </c>
      <c r="B6" s="113"/>
      <c r="C6" s="113"/>
      <c r="D6" s="113"/>
      <c r="E6" s="114"/>
      <c r="F6" s="51">
        <f>F5*18%</f>
        <v>3060</v>
      </c>
    </row>
    <row r="7" spans="1:6" ht="15" thickBot="1">
      <c r="A7" s="112" t="s">
        <v>8</v>
      </c>
      <c r="B7" s="113"/>
      <c r="C7" s="113"/>
      <c r="D7" s="113"/>
      <c r="E7" s="114"/>
      <c r="F7" s="51">
        <f>SUM(F5:F6)</f>
        <v>20060</v>
      </c>
    </row>
  </sheetData>
  <mergeCells count="4">
    <mergeCell ref="A1:C1"/>
    <mergeCell ref="A5:E5"/>
    <mergeCell ref="A6:E6"/>
    <mergeCell ref="A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24620-3726-4086-AEF6-FEF8B58CB6D2}">
  <dimension ref="A1:F9"/>
  <sheetViews>
    <sheetView workbookViewId="0">
      <selection sqref="A1:F9"/>
    </sheetView>
  </sheetViews>
  <sheetFormatPr defaultRowHeight="14.5"/>
  <cols>
    <col min="2" max="2" width="11.453125" bestFit="1" customWidth="1"/>
    <col min="3" max="3" width="39" bestFit="1" customWidth="1"/>
    <col min="5" max="5" width="13.7265625" bestFit="1" customWidth="1"/>
    <col min="6" max="6" width="11.1796875" bestFit="1" customWidth="1"/>
  </cols>
  <sheetData>
    <row r="1" spans="1:6" ht="18.5">
      <c r="A1" s="111" t="s">
        <v>29</v>
      </c>
      <c r="B1" s="111"/>
      <c r="C1" s="111"/>
      <c r="D1" s="17" t="s">
        <v>0</v>
      </c>
      <c r="E1" s="2" t="s">
        <v>30</v>
      </c>
      <c r="F1" s="46"/>
    </row>
    <row r="2" spans="1:6" ht="15" thickBot="1">
      <c r="A2" s="18"/>
      <c r="B2" s="19"/>
      <c r="C2" s="18"/>
      <c r="D2" s="18"/>
      <c r="E2" s="18"/>
      <c r="F2" s="46"/>
    </row>
    <row r="3" spans="1:6" ht="15" thickBot="1">
      <c r="A3" s="20" t="s">
        <v>1</v>
      </c>
      <c r="B3" s="21" t="s">
        <v>2</v>
      </c>
      <c r="C3" s="20" t="s">
        <v>3</v>
      </c>
      <c r="D3" s="22" t="s">
        <v>4</v>
      </c>
      <c r="E3" s="23" t="s">
        <v>5</v>
      </c>
      <c r="F3" s="47" t="s">
        <v>6</v>
      </c>
    </row>
    <row r="4" spans="1:6">
      <c r="A4" s="27">
        <v>1</v>
      </c>
      <c r="B4" s="29">
        <v>630059</v>
      </c>
      <c r="C4" s="28" t="s">
        <v>14</v>
      </c>
      <c r="D4" s="29">
        <v>15</v>
      </c>
      <c r="E4" s="55">
        <v>1725</v>
      </c>
      <c r="F4" s="56">
        <f t="shared" ref="F4:F6" si="0">E4*D4</f>
        <v>25875</v>
      </c>
    </row>
    <row r="5" spans="1:6">
      <c r="A5" s="30">
        <v>2</v>
      </c>
      <c r="B5" s="26">
        <v>632215</v>
      </c>
      <c r="C5" s="26" t="s">
        <v>31</v>
      </c>
      <c r="D5" s="26">
        <v>10</v>
      </c>
      <c r="E5" s="41">
        <v>2270</v>
      </c>
      <c r="F5" s="57">
        <f t="shared" si="0"/>
        <v>22700</v>
      </c>
    </row>
    <row r="6" spans="1:6" ht="15" thickBot="1">
      <c r="A6" s="31">
        <v>3</v>
      </c>
      <c r="B6" s="33">
        <v>616026</v>
      </c>
      <c r="C6" s="60" t="s">
        <v>16</v>
      </c>
      <c r="D6" s="33">
        <v>15</v>
      </c>
      <c r="E6" s="58">
        <v>2245</v>
      </c>
      <c r="F6" s="59">
        <f t="shared" si="0"/>
        <v>33675</v>
      </c>
    </row>
    <row r="7" spans="1:6" ht="15" thickBot="1">
      <c r="A7" s="115" t="s">
        <v>6</v>
      </c>
      <c r="B7" s="116"/>
      <c r="C7" s="116"/>
      <c r="D7" s="116"/>
      <c r="E7" s="117"/>
      <c r="F7" s="51">
        <f>SUM(F4:F6)</f>
        <v>82250</v>
      </c>
    </row>
    <row r="8" spans="1:6" ht="15" thickBot="1">
      <c r="A8" s="112" t="s">
        <v>7</v>
      </c>
      <c r="B8" s="113"/>
      <c r="C8" s="113"/>
      <c r="D8" s="113"/>
      <c r="E8" s="114"/>
      <c r="F8" s="51">
        <f>F7*18%</f>
        <v>14805</v>
      </c>
    </row>
    <row r="9" spans="1:6" ht="15" thickBot="1">
      <c r="A9" s="112" t="s">
        <v>8</v>
      </c>
      <c r="B9" s="113"/>
      <c r="C9" s="113"/>
      <c r="D9" s="113"/>
      <c r="E9" s="114"/>
      <c r="F9" s="51">
        <f>SUM(F7:F8)</f>
        <v>97055</v>
      </c>
    </row>
  </sheetData>
  <mergeCells count="4">
    <mergeCell ref="A1:C1"/>
    <mergeCell ref="A7:E7"/>
    <mergeCell ref="A8:E8"/>
    <mergeCell ref="A9:E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9E0D-ACFA-4364-B3F5-A10A9E9FCF08}">
  <dimension ref="A1:F9"/>
  <sheetViews>
    <sheetView workbookViewId="0">
      <selection activeCell="E6" sqref="E6"/>
    </sheetView>
  </sheetViews>
  <sheetFormatPr defaultRowHeight="14.5"/>
  <cols>
    <col min="2" max="2" width="11.453125" bestFit="1" customWidth="1"/>
    <col min="3" max="3" width="39" bestFit="1" customWidth="1"/>
    <col min="4" max="4" width="8.1796875" bestFit="1" customWidth="1"/>
    <col min="5" max="5" width="13.7265625" bestFit="1" customWidth="1"/>
    <col min="6" max="6" width="11.1796875" bestFit="1" customWidth="1"/>
  </cols>
  <sheetData>
    <row r="1" spans="1:6" ht="18.5">
      <c r="A1" s="111" t="s">
        <v>32</v>
      </c>
      <c r="B1" s="111"/>
      <c r="C1" s="111"/>
      <c r="D1" s="17" t="s">
        <v>0</v>
      </c>
      <c r="E1" s="2">
        <v>45694</v>
      </c>
      <c r="F1" s="46"/>
    </row>
    <row r="2" spans="1:6" ht="15" thickBot="1">
      <c r="A2" s="18"/>
      <c r="B2" s="19"/>
      <c r="C2" s="18"/>
      <c r="D2" s="18"/>
      <c r="E2" s="18"/>
      <c r="F2" s="46"/>
    </row>
    <row r="3" spans="1:6" ht="15" thickBot="1">
      <c r="A3" s="20" t="s">
        <v>1</v>
      </c>
      <c r="B3" s="21" t="s">
        <v>2</v>
      </c>
      <c r="C3" s="20" t="s">
        <v>3</v>
      </c>
      <c r="D3" s="22" t="s">
        <v>4</v>
      </c>
      <c r="E3" s="23" t="s">
        <v>5</v>
      </c>
      <c r="F3" s="47" t="s">
        <v>6</v>
      </c>
    </row>
    <row r="4" spans="1:6">
      <c r="A4" s="27">
        <v>1</v>
      </c>
      <c r="B4" s="29">
        <v>716663</v>
      </c>
      <c r="C4" s="28" t="s">
        <v>13</v>
      </c>
      <c r="D4" s="34">
        <v>4</v>
      </c>
      <c r="E4" s="37">
        <v>750</v>
      </c>
      <c r="F4" s="48">
        <f>E4*D4</f>
        <v>3000</v>
      </c>
    </row>
    <row r="5" spans="1:6">
      <c r="A5" s="30">
        <v>2</v>
      </c>
      <c r="B5" s="26">
        <v>630059</v>
      </c>
      <c r="C5" s="25" t="s">
        <v>14</v>
      </c>
      <c r="D5" s="35">
        <v>40</v>
      </c>
      <c r="E5" s="38">
        <v>1725</v>
      </c>
      <c r="F5" s="49">
        <f t="shared" ref="F5:F6" si="0">E5*D5</f>
        <v>69000</v>
      </c>
    </row>
    <row r="6" spans="1:6" ht="15" thickBot="1">
      <c r="A6" s="63">
        <v>3</v>
      </c>
      <c r="B6" s="64">
        <v>616039</v>
      </c>
      <c r="C6" s="65" t="s">
        <v>15</v>
      </c>
      <c r="D6" s="66">
        <v>25</v>
      </c>
      <c r="E6" s="67">
        <v>3100</v>
      </c>
      <c r="F6" s="68">
        <f t="shared" si="0"/>
        <v>77500</v>
      </c>
    </row>
    <row r="7" spans="1:6" ht="15" thickBot="1">
      <c r="A7" s="112" t="s">
        <v>6</v>
      </c>
      <c r="B7" s="113"/>
      <c r="C7" s="113"/>
      <c r="D7" s="113"/>
      <c r="E7" s="114"/>
      <c r="F7" s="69">
        <f>SUM(F4:F6)</f>
        <v>149500</v>
      </c>
    </row>
    <row r="8" spans="1:6" ht="15" thickBot="1">
      <c r="A8" s="112" t="s">
        <v>7</v>
      </c>
      <c r="B8" s="113"/>
      <c r="C8" s="113"/>
      <c r="D8" s="113"/>
      <c r="E8" s="114"/>
      <c r="F8" s="51">
        <f>F7*18%</f>
        <v>26910</v>
      </c>
    </row>
    <row r="9" spans="1:6" ht="15" thickBot="1">
      <c r="A9" s="112" t="s">
        <v>8</v>
      </c>
      <c r="B9" s="113"/>
      <c r="C9" s="113"/>
      <c r="D9" s="113"/>
      <c r="E9" s="114"/>
      <c r="F9" s="51">
        <f>SUM(F7:F8)</f>
        <v>176410</v>
      </c>
    </row>
  </sheetData>
  <mergeCells count="4">
    <mergeCell ref="A1:C1"/>
    <mergeCell ref="A7:E7"/>
    <mergeCell ref="A8:E8"/>
    <mergeCell ref="A9:E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F0AD-C2F0-4FBF-8851-F2B1BAD3ABDF}">
  <dimension ref="A1:F9"/>
  <sheetViews>
    <sheetView workbookViewId="0">
      <selection sqref="A1:F9"/>
    </sheetView>
  </sheetViews>
  <sheetFormatPr defaultRowHeight="14.5"/>
  <cols>
    <col min="2" max="2" width="11.453125" bestFit="1" customWidth="1"/>
    <col min="3" max="3" width="34.1796875" bestFit="1" customWidth="1"/>
    <col min="5" max="5" width="13.7265625" bestFit="1" customWidth="1"/>
    <col min="6" max="6" width="11.1796875" bestFit="1" customWidth="1"/>
  </cols>
  <sheetData>
    <row r="1" spans="1:6" ht="18.5">
      <c r="A1" s="111" t="s">
        <v>33</v>
      </c>
      <c r="B1" s="111"/>
      <c r="C1" s="111"/>
      <c r="D1" s="1" t="s">
        <v>0</v>
      </c>
      <c r="E1" s="2">
        <v>45694</v>
      </c>
      <c r="F1" s="52"/>
    </row>
    <row r="2" spans="1:6" ht="15" thickBot="1">
      <c r="B2" s="3"/>
      <c r="F2" s="52"/>
    </row>
    <row r="3" spans="1:6" ht="15" thickBot="1">
      <c r="A3" s="4" t="s">
        <v>1</v>
      </c>
      <c r="B3" s="5" t="s">
        <v>2</v>
      </c>
      <c r="C3" s="4" t="s">
        <v>3</v>
      </c>
      <c r="D3" s="6" t="s">
        <v>4</v>
      </c>
      <c r="E3" s="7" t="s">
        <v>5</v>
      </c>
      <c r="F3" s="70" t="s">
        <v>6</v>
      </c>
    </row>
    <row r="4" spans="1:6">
      <c r="A4" s="27">
        <v>1</v>
      </c>
      <c r="B4" s="71">
        <v>716334</v>
      </c>
      <c r="C4" s="71" t="s">
        <v>19</v>
      </c>
      <c r="D4" s="29">
        <v>10</v>
      </c>
      <c r="E4" s="72">
        <v>2950</v>
      </c>
      <c r="F4" s="56">
        <f>D4*E4</f>
        <v>29500</v>
      </c>
    </row>
    <row r="5" spans="1:6">
      <c r="A5" s="30">
        <v>2</v>
      </c>
      <c r="B5" s="40">
        <v>695947</v>
      </c>
      <c r="C5" s="40" t="s">
        <v>20</v>
      </c>
      <c r="D5" s="26">
        <v>110</v>
      </c>
      <c r="E5" s="41">
        <v>445</v>
      </c>
      <c r="F5" s="57">
        <f t="shared" ref="F5:F6" si="0">D5*E5</f>
        <v>48950</v>
      </c>
    </row>
    <row r="6" spans="1:6" ht="15" thickBot="1">
      <c r="A6" s="31">
        <v>3</v>
      </c>
      <c r="B6" s="61">
        <v>687254</v>
      </c>
      <c r="C6" s="61" t="s">
        <v>21</v>
      </c>
      <c r="D6" s="33">
        <v>50</v>
      </c>
      <c r="E6" s="62">
        <v>1250</v>
      </c>
      <c r="F6" s="59">
        <f t="shared" si="0"/>
        <v>62500</v>
      </c>
    </row>
    <row r="7" spans="1:6" ht="15" thickBot="1">
      <c r="A7" s="115" t="s">
        <v>6</v>
      </c>
      <c r="B7" s="116"/>
      <c r="C7" s="116"/>
      <c r="D7" s="116"/>
      <c r="E7" s="117"/>
      <c r="F7" s="51">
        <f>SUM(F4:F6)</f>
        <v>140950</v>
      </c>
    </row>
    <row r="8" spans="1:6" ht="15" thickBot="1">
      <c r="A8" s="112" t="s">
        <v>7</v>
      </c>
      <c r="B8" s="113"/>
      <c r="C8" s="113"/>
      <c r="D8" s="113"/>
      <c r="E8" s="114"/>
      <c r="F8" s="51">
        <f>F7*18%</f>
        <v>25371</v>
      </c>
    </row>
    <row r="9" spans="1:6" ht="15" thickBot="1">
      <c r="A9" s="112" t="s">
        <v>8</v>
      </c>
      <c r="B9" s="113"/>
      <c r="C9" s="113"/>
      <c r="D9" s="113"/>
      <c r="E9" s="114"/>
      <c r="F9" s="51">
        <f>SUM(F7:F8)</f>
        <v>166321</v>
      </c>
    </row>
  </sheetData>
  <mergeCells count="4">
    <mergeCell ref="A1:C1"/>
    <mergeCell ref="A7:E7"/>
    <mergeCell ref="A8:E8"/>
    <mergeCell ref="A9:E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C66B4-0BB7-4AE4-9D39-FD1ACBC673DF}">
  <dimension ref="A1:F7"/>
  <sheetViews>
    <sheetView workbookViewId="0">
      <selection activeCell="G4" sqref="G4"/>
    </sheetView>
  </sheetViews>
  <sheetFormatPr defaultRowHeight="14.5"/>
  <cols>
    <col min="2" max="2" width="11.453125" bestFit="1" customWidth="1"/>
    <col min="3" max="3" width="32.08984375" bestFit="1" customWidth="1"/>
    <col min="5" max="5" width="13.7265625" bestFit="1" customWidth="1"/>
    <col min="6" max="6" width="10.1796875" bestFit="1" customWidth="1"/>
  </cols>
  <sheetData>
    <row r="1" spans="1:6" ht="18.5">
      <c r="A1" s="111" t="s">
        <v>34</v>
      </c>
      <c r="B1" s="111"/>
      <c r="C1" s="111"/>
      <c r="D1" s="17" t="s">
        <v>0</v>
      </c>
      <c r="E1" s="2">
        <v>45997</v>
      </c>
      <c r="F1" s="46"/>
    </row>
    <row r="2" spans="1:6" ht="15" thickBot="1">
      <c r="A2" s="18"/>
      <c r="B2" s="19"/>
      <c r="C2" s="18"/>
      <c r="D2" s="18"/>
      <c r="E2" s="18"/>
      <c r="F2" s="46"/>
    </row>
    <row r="3" spans="1:6" ht="15" thickBot="1">
      <c r="A3" s="4" t="s">
        <v>1</v>
      </c>
      <c r="B3" s="5" t="s">
        <v>2</v>
      </c>
      <c r="C3" s="4" t="s">
        <v>3</v>
      </c>
      <c r="D3" s="6" t="s">
        <v>4</v>
      </c>
      <c r="E3" s="7" t="s">
        <v>5</v>
      </c>
      <c r="F3" s="70" t="s">
        <v>6</v>
      </c>
    </row>
    <row r="4" spans="1:6" ht="15" thickBot="1">
      <c r="A4" s="73">
        <v>1</v>
      </c>
      <c r="B4" s="74">
        <v>713141</v>
      </c>
      <c r="C4" s="74" t="s">
        <v>35</v>
      </c>
      <c r="D4" s="74">
        <v>4</v>
      </c>
      <c r="E4" s="75">
        <v>6000</v>
      </c>
      <c r="F4" s="76">
        <f>E4*D4</f>
        <v>24000</v>
      </c>
    </row>
    <row r="5" spans="1:6" ht="15" thickBot="1">
      <c r="A5" s="112" t="s">
        <v>6</v>
      </c>
      <c r="B5" s="113"/>
      <c r="C5" s="113"/>
      <c r="D5" s="113"/>
      <c r="E5" s="114"/>
      <c r="F5" s="69">
        <f>SUM(F4:F4)</f>
        <v>24000</v>
      </c>
    </row>
    <row r="6" spans="1:6" ht="15" thickBot="1">
      <c r="A6" s="112" t="s">
        <v>7</v>
      </c>
      <c r="B6" s="113"/>
      <c r="C6" s="113"/>
      <c r="D6" s="113"/>
      <c r="E6" s="114"/>
      <c r="F6" s="51">
        <f>F5*18%</f>
        <v>4320</v>
      </c>
    </row>
    <row r="7" spans="1:6" ht="15" thickBot="1">
      <c r="A7" s="112" t="s">
        <v>8</v>
      </c>
      <c r="B7" s="113"/>
      <c r="C7" s="113"/>
      <c r="D7" s="113"/>
      <c r="E7" s="114"/>
      <c r="F7" s="51">
        <f>SUM(F5:F6)</f>
        <v>28320</v>
      </c>
    </row>
  </sheetData>
  <mergeCells count="4">
    <mergeCell ref="A1:C1"/>
    <mergeCell ref="A5:E5"/>
    <mergeCell ref="A6:E6"/>
    <mergeCell ref="A7:E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1E50E-DA57-4A20-ADC6-F026FF09BE4C}">
  <dimension ref="A1:F9"/>
  <sheetViews>
    <sheetView workbookViewId="0">
      <selection activeCell="B4" sqref="B4:D6"/>
    </sheetView>
  </sheetViews>
  <sheetFormatPr defaultRowHeight="14.5"/>
  <cols>
    <col min="2" max="2" width="11.453125" bestFit="1" customWidth="1"/>
    <col min="3" max="3" width="39" bestFit="1" customWidth="1"/>
    <col min="5" max="5" width="13.7265625" bestFit="1" customWidth="1"/>
    <col min="6" max="6" width="10.1796875" bestFit="1" customWidth="1"/>
  </cols>
  <sheetData>
    <row r="1" spans="1:6" ht="18.5">
      <c r="A1" s="111" t="s">
        <v>40</v>
      </c>
      <c r="B1" s="111"/>
      <c r="C1" s="111"/>
      <c r="D1" s="17" t="s">
        <v>0</v>
      </c>
      <c r="E1" s="2">
        <v>45723</v>
      </c>
      <c r="F1" s="46"/>
    </row>
    <row r="2" spans="1:6" ht="15" thickBot="1">
      <c r="A2" s="18"/>
      <c r="B2" s="19"/>
      <c r="C2" s="18"/>
      <c r="D2" s="18"/>
      <c r="E2" s="18"/>
      <c r="F2" s="46"/>
    </row>
    <row r="3" spans="1:6" ht="15" thickBot="1">
      <c r="A3" s="20" t="s">
        <v>1</v>
      </c>
      <c r="B3" s="21" t="s">
        <v>2</v>
      </c>
      <c r="C3" s="20" t="s">
        <v>3</v>
      </c>
      <c r="D3" s="22" t="s">
        <v>4</v>
      </c>
      <c r="E3" s="23" t="s">
        <v>5</v>
      </c>
      <c r="F3" s="47" t="s">
        <v>6</v>
      </c>
    </row>
    <row r="4" spans="1:6" s="91" customFormat="1">
      <c r="A4" s="85">
        <v>1</v>
      </c>
      <c r="B4" s="86">
        <v>616039</v>
      </c>
      <c r="C4" s="86" t="s">
        <v>15</v>
      </c>
      <c r="D4" s="86">
        <v>3</v>
      </c>
      <c r="E4" s="55">
        <v>3100</v>
      </c>
      <c r="F4" s="56">
        <f t="shared" ref="F4:F6" si="0">E4*D4</f>
        <v>9300</v>
      </c>
    </row>
    <row r="5" spans="1:6" s="91" customFormat="1">
      <c r="A5" s="87">
        <v>2</v>
      </c>
      <c r="B5" s="88">
        <v>646872</v>
      </c>
      <c r="C5" s="88" t="s">
        <v>36</v>
      </c>
      <c r="D5" s="88">
        <v>10</v>
      </c>
      <c r="E5" s="41">
        <v>1225</v>
      </c>
      <c r="F5" s="57">
        <f t="shared" si="0"/>
        <v>12250</v>
      </c>
    </row>
    <row r="6" spans="1:6" s="91" customFormat="1" ht="15" thickBot="1">
      <c r="A6" s="89">
        <v>3</v>
      </c>
      <c r="B6" s="90">
        <v>632215</v>
      </c>
      <c r="C6" s="90" t="s">
        <v>31</v>
      </c>
      <c r="D6" s="90">
        <v>10</v>
      </c>
      <c r="E6" s="62">
        <v>2270</v>
      </c>
      <c r="F6" s="59">
        <f t="shared" si="0"/>
        <v>22700</v>
      </c>
    </row>
    <row r="7" spans="1:6" ht="15" thickBot="1">
      <c r="A7" s="115" t="s">
        <v>6</v>
      </c>
      <c r="B7" s="116"/>
      <c r="C7" s="116"/>
      <c r="D7" s="116"/>
      <c r="E7" s="117"/>
      <c r="F7" s="51">
        <f>SUM(F4:F6)</f>
        <v>44250</v>
      </c>
    </row>
    <row r="8" spans="1:6" ht="15" thickBot="1">
      <c r="A8" s="112" t="s">
        <v>7</v>
      </c>
      <c r="B8" s="113"/>
      <c r="C8" s="113"/>
      <c r="D8" s="113"/>
      <c r="E8" s="114"/>
      <c r="F8" s="51">
        <f>F7*18%</f>
        <v>7965</v>
      </c>
    </row>
    <row r="9" spans="1:6" ht="15" thickBot="1">
      <c r="A9" s="112" t="s">
        <v>8</v>
      </c>
      <c r="B9" s="113"/>
      <c r="C9" s="113"/>
      <c r="D9" s="113"/>
      <c r="E9" s="114"/>
      <c r="F9" s="51">
        <f>SUM(F7:F8)</f>
        <v>52215</v>
      </c>
    </row>
  </sheetData>
  <mergeCells count="4">
    <mergeCell ref="A1:C1"/>
    <mergeCell ref="A7:E7"/>
    <mergeCell ref="A8:E8"/>
    <mergeCell ref="A9:E9"/>
  </mergeCells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BC5DD-CD7A-4CCD-95C6-F0A3A287F6EF}">
  <dimension ref="A1:F10"/>
  <sheetViews>
    <sheetView workbookViewId="0">
      <selection sqref="A1:F10"/>
    </sheetView>
  </sheetViews>
  <sheetFormatPr defaultRowHeight="14.5"/>
  <cols>
    <col min="2" max="2" width="11.453125" bestFit="1" customWidth="1"/>
    <col min="3" max="3" width="37.6328125" bestFit="1" customWidth="1"/>
    <col min="5" max="5" width="13.7265625" bestFit="1" customWidth="1"/>
    <col min="6" max="6" width="11.36328125" customWidth="1"/>
  </cols>
  <sheetData>
    <row r="1" spans="1:6" ht="18.5">
      <c r="A1" s="111" t="s">
        <v>41</v>
      </c>
      <c r="B1" s="111"/>
      <c r="C1" s="111"/>
      <c r="D1" s="17" t="s">
        <v>0</v>
      </c>
      <c r="E1" s="2">
        <v>45723</v>
      </c>
      <c r="F1" s="46"/>
    </row>
    <row r="2" spans="1:6" ht="15" thickBot="1">
      <c r="A2" s="18"/>
      <c r="B2" s="19"/>
      <c r="C2" s="18"/>
      <c r="D2" s="18"/>
      <c r="E2" s="18"/>
      <c r="F2" s="46"/>
    </row>
    <row r="3" spans="1:6" ht="15" thickBot="1">
      <c r="A3" s="20" t="s">
        <v>1</v>
      </c>
      <c r="B3" s="21" t="s">
        <v>2</v>
      </c>
      <c r="C3" s="20" t="s">
        <v>3</v>
      </c>
      <c r="D3" s="22" t="s">
        <v>4</v>
      </c>
      <c r="E3" s="23" t="s">
        <v>5</v>
      </c>
      <c r="F3" s="47" t="s">
        <v>6</v>
      </c>
    </row>
    <row r="4" spans="1:6">
      <c r="A4" s="85">
        <v>1</v>
      </c>
      <c r="B4" s="94">
        <v>663093</v>
      </c>
      <c r="C4" s="94" t="s">
        <v>37</v>
      </c>
      <c r="D4" s="94">
        <v>2</v>
      </c>
      <c r="E4" s="72">
        <v>2800</v>
      </c>
      <c r="F4" s="56">
        <f>E4*D4</f>
        <v>5600</v>
      </c>
    </row>
    <row r="5" spans="1:6">
      <c r="A5" s="87">
        <v>2</v>
      </c>
      <c r="B5" s="92">
        <v>646872</v>
      </c>
      <c r="C5" s="92" t="s">
        <v>36</v>
      </c>
      <c r="D5" s="88">
        <v>10</v>
      </c>
      <c r="E5" s="41">
        <v>1225</v>
      </c>
      <c r="F5" s="57">
        <f t="shared" ref="F5:F7" si="0">E5*D5</f>
        <v>12250</v>
      </c>
    </row>
    <row r="6" spans="1:6">
      <c r="A6" s="87">
        <v>3</v>
      </c>
      <c r="B6" s="92">
        <v>632215</v>
      </c>
      <c r="C6" s="92" t="s">
        <v>31</v>
      </c>
      <c r="D6" s="88">
        <v>8</v>
      </c>
      <c r="E6" s="41">
        <v>2270</v>
      </c>
      <c r="F6" s="57">
        <f t="shared" si="0"/>
        <v>18160</v>
      </c>
    </row>
    <row r="7" spans="1:6" ht="15" thickBot="1">
      <c r="A7" s="89">
        <v>4</v>
      </c>
      <c r="B7" s="93">
        <v>616026</v>
      </c>
      <c r="C7" s="93" t="s">
        <v>10</v>
      </c>
      <c r="D7" s="90">
        <v>13</v>
      </c>
      <c r="E7" s="62">
        <v>2245</v>
      </c>
      <c r="F7" s="59">
        <f t="shared" si="0"/>
        <v>29185</v>
      </c>
    </row>
    <row r="8" spans="1:6" ht="15" thickBot="1">
      <c r="A8" s="115" t="s">
        <v>6</v>
      </c>
      <c r="B8" s="116"/>
      <c r="C8" s="116"/>
      <c r="D8" s="116"/>
      <c r="E8" s="117"/>
      <c r="F8" s="51">
        <f>SUM(F4:F7)</f>
        <v>65195</v>
      </c>
    </row>
    <row r="9" spans="1:6" ht="15" thickBot="1">
      <c r="A9" s="112" t="s">
        <v>7</v>
      </c>
      <c r="B9" s="113"/>
      <c r="C9" s="113"/>
      <c r="D9" s="113"/>
      <c r="E9" s="114"/>
      <c r="F9" s="51">
        <f>F8*18%</f>
        <v>11735.1</v>
      </c>
    </row>
    <row r="10" spans="1:6" ht="15" thickBot="1">
      <c r="A10" s="112" t="s">
        <v>8</v>
      </c>
      <c r="B10" s="113"/>
      <c r="C10" s="113"/>
      <c r="D10" s="113"/>
      <c r="E10" s="114"/>
      <c r="F10" s="51">
        <f>SUM(F8:F9)</f>
        <v>76930.100000000006</v>
      </c>
    </row>
  </sheetData>
  <mergeCells count="4">
    <mergeCell ref="A1:C1"/>
    <mergeCell ref="A8:E8"/>
    <mergeCell ref="A9:E9"/>
    <mergeCell ref="A10:E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8689-8D3B-48C9-8BBE-564FE34FB840}">
  <dimension ref="A1:F7"/>
  <sheetViews>
    <sheetView topLeftCell="A2" workbookViewId="0">
      <selection activeCell="B4" sqref="B4:D4"/>
    </sheetView>
  </sheetViews>
  <sheetFormatPr defaultRowHeight="14.5"/>
  <cols>
    <col min="2" max="2" width="11.453125" bestFit="1" customWidth="1"/>
    <col min="3" max="3" width="34.1796875" bestFit="1" customWidth="1"/>
    <col min="5" max="5" width="13.7265625" bestFit="1" customWidth="1"/>
    <col min="6" max="6" width="11.1796875" bestFit="1" customWidth="1"/>
  </cols>
  <sheetData>
    <row r="1" spans="1:6" ht="18.5">
      <c r="A1" s="111" t="s">
        <v>42</v>
      </c>
      <c r="B1" s="111"/>
      <c r="C1" s="111"/>
      <c r="D1" s="1" t="s">
        <v>0</v>
      </c>
      <c r="E1" s="2">
        <v>45723</v>
      </c>
      <c r="F1" s="52"/>
    </row>
    <row r="2" spans="1:6" ht="15" thickBot="1">
      <c r="B2" s="3"/>
      <c r="F2" s="52"/>
    </row>
    <row r="3" spans="1:6" ht="15" thickBot="1">
      <c r="A3" s="4" t="s">
        <v>1</v>
      </c>
      <c r="B3" s="5" t="s">
        <v>2</v>
      </c>
      <c r="C3" s="4" t="s">
        <v>3</v>
      </c>
      <c r="D3" s="6" t="s">
        <v>4</v>
      </c>
      <c r="E3" s="7" t="s">
        <v>5</v>
      </c>
      <c r="F3" s="70" t="s">
        <v>6</v>
      </c>
    </row>
    <row r="4" spans="1:6" ht="15" thickBot="1">
      <c r="A4" s="42">
        <v>1</v>
      </c>
      <c r="B4" s="43">
        <v>695947</v>
      </c>
      <c r="C4" s="43" t="s">
        <v>20</v>
      </c>
      <c r="D4" s="44">
        <v>100</v>
      </c>
      <c r="E4" s="83">
        <v>445</v>
      </c>
      <c r="F4" s="84">
        <f t="shared" ref="F4" si="0">D4*E4</f>
        <v>44500</v>
      </c>
    </row>
    <row r="5" spans="1:6" ht="15" thickBot="1">
      <c r="A5" s="115" t="s">
        <v>6</v>
      </c>
      <c r="B5" s="116"/>
      <c r="C5" s="116"/>
      <c r="D5" s="116"/>
      <c r="E5" s="117"/>
      <c r="F5" s="51">
        <f>SUM(F4:F4)</f>
        <v>44500</v>
      </c>
    </row>
    <row r="6" spans="1:6" ht="15" thickBot="1">
      <c r="A6" s="112" t="s">
        <v>7</v>
      </c>
      <c r="B6" s="113"/>
      <c r="C6" s="113"/>
      <c r="D6" s="113"/>
      <c r="E6" s="114"/>
      <c r="F6" s="51">
        <f>F5*18%</f>
        <v>8010</v>
      </c>
    </row>
    <row r="7" spans="1:6" ht="15" thickBot="1">
      <c r="A7" s="112" t="s">
        <v>8</v>
      </c>
      <c r="B7" s="113"/>
      <c r="C7" s="113"/>
      <c r="D7" s="113"/>
      <c r="E7" s="114"/>
      <c r="F7" s="51">
        <f>SUM(F5:F6)</f>
        <v>52510</v>
      </c>
    </row>
  </sheetData>
  <mergeCells count="4">
    <mergeCell ref="A1:C1"/>
    <mergeCell ref="A5:E5"/>
    <mergeCell ref="A6:E6"/>
    <mergeCell ref="A7:E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8CA5-FEF4-4812-8687-8F2755950CB7}">
  <dimension ref="A1:G8"/>
  <sheetViews>
    <sheetView workbookViewId="0">
      <selection sqref="A1:G8"/>
    </sheetView>
  </sheetViews>
  <sheetFormatPr defaultRowHeight="14.5"/>
  <cols>
    <col min="2" max="2" width="11.453125" bestFit="1" customWidth="1"/>
    <col min="3" max="3" width="34.1796875" bestFit="1" customWidth="1"/>
    <col min="4" max="4" width="8.1796875" bestFit="1" customWidth="1"/>
    <col min="5" max="6" width="13.7265625" bestFit="1" customWidth="1"/>
    <col min="7" max="7" width="10.1796875" bestFit="1" customWidth="1"/>
  </cols>
  <sheetData>
    <row r="1" spans="1:7" ht="18.5">
      <c r="A1" s="111" t="s">
        <v>43</v>
      </c>
      <c r="B1" s="111"/>
      <c r="C1" s="111"/>
      <c r="D1" s="1" t="s">
        <v>0</v>
      </c>
      <c r="E1" s="2">
        <v>45723</v>
      </c>
      <c r="F1" s="52"/>
    </row>
    <row r="2" spans="1:7" ht="15" thickBot="1">
      <c r="B2" s="3"/>
      <c r="F2" s="52"/>
    </row>
    <row r="3" spans="1:7" ht="15" thickBot="1">
      <c r="A3" s="80" t="s">
        <v>1</v>
      </c>
      <c r="B3" s="81" t="s">
        <v>2</v>
      </c>
      <c r="C3" s="82" t="s">
        <v>3</v>
      </c>
      <c r="D3" s="22" t="s">
        <v>4</v>
      </c>
      <c r="E3" s="22" t="s">
        <v>23</v>
      </c>
      <c r="F3" s="23" t="s">
        <v>5</v>
      </c>
      <c r="G3" s="20" t="s">
        <v>6</v>
      </c>
    </row>
    <row r="4" spans="1:7">
      <c r="A4" s="27">
        <v>1</v>
      </c>
      <c r="B4" s="29">
        <v>635656</v>
      </c>
      <c r="C4" s="77" t="s">
        <v>38</v>
      </c>
      <c r="D4" s="78">
        <v>30</v>
      </c>
      <c r="E4" s="78" t="s">
        <v>25</v>
      </c>
      <c r="F4" s="72">
        <v>340</v>
      </c>
      <c r="G4" s="56">
        <f>D4*F4</f>
        <v>10200</v>
      </c>
    </row>
    <row r="5" spans="1:7" ht="15" thickBot="1">
      <c r="A5" s="31">
        <v>2</v>
      </c>
      <c r="B5" s="33">
        <v>635655</v>
      </c>
      <c r="C5" s="60" t="s">
        <v>39</v>
      </c>
      <c r="D5" s="79">
        <v>30</v>
      </c>
      <c r="E5" s="79" t="s">
        <v>25</v>
      </c>
      <c r="F5" s="62">
        <v>1170</v>
      </c>
      <c r="G5" s="59">
        <f>D5*F5</f>
        <v>35100</v>
      </c>
    </row>
    <row r="6" spans="1:7" ht="15" thickBot="1">
      <c r="A6" s="115" t="s">
        <v>6</v>
      </c>
      <c r="B6" s="116"/>
      <c r="C6" s="116"/>
      <c r="D6" s="116"/>
      <c r="E6" s="116"/>
      <c r="F6" s="117"/>
      <c r="G6" s="51">
        <f>SUM(G4:G5)</f>
        <v>45300</v>
      </c>
    </row>
    <row r="7" spans="1:7" ht="15" thickBot="1">
      <c r="A7" s="112" t="s">
        <v>7</v>
      </c>
      <c r="B7" s="113"/>
      <c r="C7" s="113"/>
      <c r="D7" s="113"/>
      <c r="E7" s="113"/>
      <c r="F7" s="114"/>
      <c r="G7" s="51">
        <f>G6*18%</f>
        <v>8154</v>
      </c>
    </row>
    <row r="8" spans="1:7" ht="15" thickBot="1">
      <c r="A8" s="112" t="s">
        <v>8</v>
      </c>
      <c r="B8" s="113"/>
      <c r="C8" s="113"/>
      <c r="D8" s="113"/>
      <c r="E8" s="113"/>
      <c r="F8" s="114"/>
      <c r="G8" s="51">
        <f>SUM(G6:G7)</f>
        <v>53454</v>
      </c>
    </row>
  </sheetData>
  <mergeCells count="4">
    <mergeCell ref="A7:F7"/>
    <mergeCell ref="A8:F8"/>
    <mergeCell ref="A1:C1"/>
    <mergeCell ref="A6:F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4D30D-F8ED-417A-A4C7-A4F7B66CB4FF}">
  <dimension ref="A1:G7"/>
  <sheetViews>
    <sheetView workbookViewId="0">
      <selection activeCell="A3" sqref="A3"/>
    </sheetView>
  </sheetViews>
  <sheetFormatPr defaultRowHeight="14.5"/>
  <cols>
    <col min="2" max="2" width="11.453125" bestFit="1" customWidth="1"/>
    <col min="3" max="3" width="32.453125" bestFit="1" customWidth="1"/>
    <col min="4" max="4" width="32.453125" customWidth="1"/>
    <col min="6" max="6" width="13.7265625" bestFit="1" customWidth="1"/>
    <col min="7" max="7" width="10.1796875" bestFit="1" customWidth="1"/>
  </cols>
  <sheetData>
    <row r="1" spans="1:7" ht="18.5">
      <c r="A1" s="111" t="s">
        <v>45</v>
      </c>
      <c r="B1" s="111"/>
      <c r="C1" s="111"/>
      <c r="D1" s="95"/>
      <c r="E1" s="1" t="s">
        <v>0</v>
      </c>
      <c r="F1" s="96">
        <v>45784</v>
      </c>
    </row>
    <row r="2" spans="1:7" ht="15" thickBot="1">
      <c r="B2" s="3"/>
      <c r="F2" s="52"/>
    </row>
    <row r="3" spans="1:7" ht="15" thickBot="1">
      <c r="A3" s="80" t="s">
        <v>1</v>
      </c>
      <c r="B3" s="81" t="s">
        <v>2</v>
      </c>
      <c r="C3" s="82" t="s">
        <v>3</v>
      </c>
      <c r="D3" s="97" t="s">
        <v>46</v>
      </c>
      <c r="E3" s="22" t="s">
        <v>4</v>
      </c>
      <c r="F3" s="23" t="s">
        <v>5</v>
      </c>
      <c r="G3" s="20" t="s">
        <v>6</v>
      </c>
    </row>
    <row r="4" spans="1:7" s="3" customFormat="1" ht="58.5" thickBot="1">
      <c r="A4" s="42">
        <v>1</v>
      </c>
      <c r="B4" s="44">
        <v>772264</v>
      </c>
      <c r="C4" s="83" t="s">
        <v>44</v>
      </c>
      <c r="D4" s="83"/>
      <c r="E4" s="44">
        <v>20</v>
      </c>
      <c r="F4" s="83">
        <v>780</v>
      </c>
      <c r="G4" s="84">
        <f>E4*F4</f>
        <v>15600</v>
      </c>
    </row>
    <row r="5" spans="1:7" ht="15" thickBot="1">
      <c r="A5" s="115" t="s">
        <v>6</v>
      </c>
      <c r="B5" s="116"/>
      <c r="C5" s="116"/>
      <c r="D5" s="116"/>
      <c r="E5" s="116"/>
      <c r="F5" s="117"/>
      <c r="G5" s="51">
        <f>SUM(G4:G4)</f>
        <v>15600</v>
      </c>
    </row>
    <row r="6" spans="1:7" ht="15" thickBot="1">
      <c r="A6" s="112" t="s">
        <v>7</v>
      </c>
      <c r="B6" s="113"/>
      <c r="C6" s="113"/>
      <c r="D6" s="113"/>
      <c r="E6" s="113"/>
      <c r="F6" s="114"/>
      <c r="G6" s="51">
        <f>G5*18%</f>
        <v>2808</v>
      </c>
    </row>
    <row r="7" spans="1:7" ht="15" thickBot="1">
      <c r="A7" s="112" t="s">
        <v>8</v>
      </c>
      <c r="B7" s="113"/>
      <c r="C7" s="113"/>
      <c r="D7" s="113"/>
      <c r="E7" s="113"/>
      <c r="F7" s="114"/>
      <c r="G7" s="51">
        <f>SUM(G5:G6)</f>
        <v>18408</v>
      </c>
    </row>
  </sheetData>
  <mergeCells count="4">
    <mergeCell ref="A1:C1"/>
    <mergeCell ref="A5:F5"/>
    <mergeCell ref="A6:F6"/>
    <mergeCell ref="A7:F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0BB4-1514-44DF-977C-CAC9A683D354}">
  <dimension ref="A1:G7"/>
  <sheetViews>
    <sheetView workbookViewId="0">
      <selection activeCell="D4" sqref="D4"/>
    </sheetView>
  </sheetViews>
  <sheetFormatPr defaultRowHeight="14.5"/>
  <cols>
    <col min="1" max="2" width="8.7265625" style="101"/>
    <col min="3" max="3" width="25.08984375" style="101" customWidth="1"/>
    <col min="4" max="4" width="19.26953125" style="101" customWidth="1"/>
    <col min="5" max="5" width="8.1796875" style="101" bestFit="1" customWidth="1"/>
    <col min="6" max="6" width="13.7265625" style="101" bestFit="1" customWidth="1"/>
    <col min="7" max="7" width="10.1796875" style="101" bestFit="1" customWidth="1"/>
    <col min="8" max="16384" width="8.7265625" style="101"/>
  </cols>
  <sheetData>
    <row r="1" spans="1:7" ht="18.5">
      <c r="A1" s="118" t="s">
        <v>47</v>
      </c>
      <c r="B1" s="118"/>
      <c r="C1" s="118"/>
      <c r="D1" s="98"/>
      <c r="E1" s="99" t="s">
        <v>0</v>
      </c>
      <c r="F1" s="100" t="s">
        <v>48</v>
      </c>
    </row>
    <row r="2" spans="1:7" ht="15" thickBot="1">
      <c r="B2" s="102"/>
      <c r="F2" s="103"/>
    </row>
    <row r="3" spans="1:7" ht="29.5" thickBot="1">
      <c r="A3" s="80" t="s">
        <v>1</v>
      </c>
      <c r="B3" s="104" t="s">
        <v>2</v>
      </c>
      <c r="C3" s="82" t="s">
        <v>3</v>
      </c>
      <c r="D3" s="110" t="s">
        <v>46</v>
      </c>
      <c r="E3" s="105" t="s">
        <v>4</v>
      </c>
      <c r="F3" s="106" t="s">
        <v>5</v>
      </c>
      <c r="G3" s="82" t="s">
        <v>6</v>
      </c>
    </row>
    <row r="4" spans="1:7" ht="73" thickBot="1">
      <c r="A4" s="107">
        <v>1</v>
      </c>
      <c r="B4" s="83">
        <v>772264</v>
      </c>
      <c r="C4" s="83" t="s">
        <v>44</v>
      </c>
      <c r="D4" s="83"/>
      <c r="E4" s="83">
        <v>30</v>
      </c>
      <c r="F4" s="83">
        <v>780</v>
      </c>
      <c r="G4" s="108">
        <f>E4*F4</f>
        <v>23400</v>
      </c>
    </row>
    <row r="5" spans="1:7" ht="15" thickBot="1">
      <c r="A5" s="119" t="s">
        <v>6</v>
      </c>
      <c r="B5" s="120"/>
      <c r="C5" s="120"/>
      <c r="D5" s="120"/>
      <c r="E5" s="120"/>
      <c r="F5" s="121"/>
      <c r="G5" s="109">
        <f>SUM(G4:G4)</f>
        <v>23400</v>
      </c>
    </row>
    <row r="6" spans="1:7" ht="15" thickBot="1">
      <c r="A6" s="122" t="s">
        <v>7</v>
      </c>
      <c r="B6" s="123"/>
      <c r="C6" s="123"/>
      <c r="D6" s="123"/>
      <c r="E6" s="123"/>
      <c r="F6" s="124"/>
      <c r="G6" s="109">
        <f>G5*18%</f>
        <v>4212</v>
      </c>
    </row>
    <row r="7" spans="1:7" ht="15" thickBot="1">
      <c r="A7" s="122" t="s">
        <v>8</v>
      </c>
      <c r="B7" s="123"/>
      <c r="C7" s="123"/>
      <c r="D7" s="123"/>
      <c r="E7" s="123"/>
      <c r="F7" s="124"/>
      <c r="G7" s="109">
        <f>SUM(G5:G6)</f>
        <v>27612</v>
      </c>
    </row>
  </sheetData>
  <mergeCells count="4">
    <mergeCell ref="A1:C1"/>
    <mergeCell ref="A5:F5"/>
    <mergeCell ref="A6:F6"/>
    <mergeCell ref="A7:F7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D0CC6-F750-420F-B216-0621D4A6C5CE}">
  <dimension ref="A1:F8"/>
  <sheetViews>
    <sheetView tabSelected="1" workbookViewId="0">
      <selection activeCell="F8" sqref="F8"/>
    </sheetView>
  </sheetViews>
  <sheetFormatPr defaultRowHeight="14.5"/>
  <cols>
    <col min="2" max="2" width="11.453125" bestFit="1" customWidth="1"/>
    <col min="3" max="3" width="36.90625" bestFit="1" customWidth="1"/>
    <col min="5" max="5" width="13.7265625" bestFit="1" customWidth="1"/>
    <col min="6" max="6" width="10.1796875" bestFit="1" customWidth="1"/>
  </cols>
  <sheetData>
    <row r="1" spans="1:6" ht="18.5">
      <c r="A1" s="125" t="s">
        <v>49</v>
      </c>
      <c r="B1" s="125"/>
      <c r="C1" s="125"/>
      <c r="D1" s="17" t="s">
        <v>0</v>
      </c>
      <c r="E1" s="2" t="s">
        <v>50</v>
      </c>
      <c r="F1" s="46"/>
    </row>
    <row r="2" spans="1:6" ht="15" thickBot="1">
      <c r="A2" s="18"/>
      <c r="B2" s="19"/>
      <c r="C2" s="18"/>
      <c r="D2" s="18"/>
      <c r="E2" s="18"/>
      <c r="F2" s="46"/>
    </row>
    <row r="3" spans="1:6" ht="15" thickBot="1">
      <c r="A3" s="20" t="s">
        <v>1</v>
      </c>
      <c r="B3" s="21" t="s">
        <v>2</v>
      </c>
      <c r="C3" s="20" t="s">
        <v>3</v>
      </c>
      <c r="D3" s="22" t="s">
        <v>4</v>
      </c>
      <c r="E3" s="23" t="s">
        <v>5</v>
      </c>
      <c r="F3" s="47" t="s">
        <v>6</v>
      </c>
    </row>
    <row r="4" spans="1:6">
      <c r="A4" s="85">
        <v>1</v>
      </c>
      <c r="B4" s="29">
        <v>615698</v>
      </c>
      <c r="C4" s="29" t="s">
        <v>51</v>
      </c>
      <c r="D4" s="29">
        <v>15</v>
      </c>
      <c r="E4" s="72">
        <v>1880</v>
      </c>
      <c r="F4" s="56">
        <f>E4*D4</f>
        <v>28200</v>
      </c>
    </row>
    <row r="5" spans="1:6" ht="15" thickBot="1">
      <c r="A5" s="89">
        <v>2</v>
      </c>
      <c r="B5" s="33">
        <v>616026</v>
      </c>
      <c r="C5" s="33" t="s">
        <v>10</v>
      </c>
      <c r="D5" s="33">
        <v>10</v>
      </c>
      <c r="E5" s="62">
        <v>2245</v>
      </c>
      <c r="F5" s="59">
        <f t="shared" ref="F5" si="0">E5*D5</f>
        <v>22450</v>
      </c>
    </row>
    <row r="6" spans="1:6" ht="15" thickBot="1">
      <c r="A6" s="115" t="s">
        <v>6</v>
      </c>
      <c r="B6" s="116"/>
      <c r="C6" s="116"/>
      <c r="D6" s="116"/>
      <c r="E6" s="117"/>
      <c r="F6" s="51">
        <f>SUM(F4:F5)</f>
        <v>50650</v>
      </c>
    </row>
    <row r="7" spans="1:6" ht="15" thickBot="1">
      <c r="A7" s="112" t="s">
        <v>7</v>
      </c>
      <c r="B7" s="113"/>
      <c r="C7" s="113"/>
      <c r="D7" s="113"/>
      <c r="E7" s="114"/>
      <c r="F7" s="51">
        <f>F6*18%</f>
        <v>9117</v>
      </c>
    </row>
    <row r="8" spans="1:6" ht="15" thickBot="1">
      <c r="A8" s="112" t="s">
        <v>8</v>
      </c>
      <c r="B8" s="113"/>
      <c r="C8" s="113"/>
      <c r="D8" s="113"/>
      <c r="E8" s="114"/>
      <c r="F8" s="51">
        <f>SUM(F6:F7)</f>
        <v>59767</v>
      </c>
    </row>
  </sheetData>
  <mergeCells count="4">
    <mergeCell ref="A1:C1"/>
    <mergeCell ref="A6:E6"/>
    <mergeCell ref="A7:E7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Namrata 101</vt:lpstr>
      <vt:lpstr>Namrata 102</vt:lpstr>
      <vt:lpstr>CNZ 103</vt:lpstr>
      <vt:lpstr>Vantage 104</vt:lpstr>
      <vt:lpstr>Namrata 105</vt:lpstr>
      <vt:lpstr>Namrata 106</vt:lpstr>
      <vt:lpstr>Namrata 107</vt:lpstr>
      <vt:lpstr>CNZ 108</vt:lpstr>
      <vt:lpstr>Namrata 109</vt:lpstr>
      <vt:lpstr>Namrata A 201</vt:lpstr>
      <vt:lpstr>Namrata M 202</vt:lpstr>
      <vt:lpstr>CNZ 203</vt:lpstr>
      <vt:lpstr>Vantage 204</vt:lpstr>
      <vt:lpstr>Spraynoz Technologies 205</vt:lpstr>
      <vt:lpstr>Spraynoz Technologies 206</vt:lpstr>
      <vt:lpstr>207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2025-04-02T10:20:10Z</dcterms:created>
  <dcterms:modified xsi:type="dcterms:W3CDTF">2025-08-12T11:29:52Z</dcterms:modified>
</cp:coreProperties>
</file>