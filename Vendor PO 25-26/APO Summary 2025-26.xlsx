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Vendor PO 25-26\"/>
    </mc:Choice>
  </mc:AlternateContent>
  <xr:revisionPtr revIDLastSave="0" documentId="13_ncr:1_{64DC35D2-0A5F-465C-A430-B03FB6FB324F}" xr6:coauthVersionLast="47" xr6:coauthVersionMax="47" xr10:uidLastSave="{00000000-0000-0000-0000-000000000000}"/>
  <bookViews>
    <workbookView xWindow="-110" yWindow="-110" windowWidth="19420" windowHeight="10420" xr2:uid="{A450DB99-9E89-4BD0-BAE3-161D9EC231BC}"/>
  </bookViews>
  <sheets>
    <sheet name="PO Summary" sheetId="1" r:id="rId1"/>
    <sheet name="Need to Order" sheetId="8" r:id="rId2"/>
    <sheet name="Replacement" sheetId="7" r:id="rId3"/>
    <sheet name="Namrata Pending" sheetId="5" r:id="rId4"/>
    <sheet name="PUTZ CONFIRMATION" sheetId="6" r:id="rId5"/>
  </sheets>
  <definedNames>
    <definedName name="_xlnm._FilterDatabase" localSheetId="1" hidden="1">'Need to Order'!$A$1:$N$1</definedName>
    <definedName name="_xlnm._FilterDatabase" localSheetId="0" hidden="1">'PO Summary'!$A$1:$M$24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" i="1" l="1"/>
  <c r="I35" i="1"/>
  <c r="D9" i="8"/>
  <c r="D8" i="8"/>
  <c r="I25" i="1"/>
  <c r="I26" i="1"/>
  <c r="I27" i="1"/>
  <c r="I28" i="1"/>
  <c r="I29" i="1"/>
  <c r="I30" i="1"/>
  <c r="I31" i="1"/>
  <c r="I32" i="1"/>
  <c r="I33" i="1"/>
  <c r="I34" i="1"/>
  <c r="H20" i="1" l="1"/>
  <c r="H8" i="1"/>
  <c r="H17" i="1" l="1"/>
  <c r="I17" i="1" s="1"/>
  <c r="I20" i="1"/>
  <c r="H19" i="1"/>
  <c r="I19" i="1" s="1"/>
  <c r="I24" i="1"/>
  <c r="I8" i="1"/>
  <c r="H2" i="1"/>
  <c r="I18" i="1"/>
  <c r="I21" i="1"/>
  <c r="I22" i="1"/>
  <c r="I23" i="1"/>
  <c r="I15" i="1"/>
  <c r="I16" i="1"/>
  <c r="H9" i="1"/>
  <c r="I9" i="1" s="1"/>
  <c r="H7" i="1"/>
  <c r="I14" i="1"/>
  <c r="H3" i="1"/>
  <c r="I6" i="1"/>
  <c r="I7" i="1"/>
  <c r="I10" i="1"/>
  <c r="I11" i="1"/>
  <c r="I12" i="1"/>
  <c r="I13" i="1"/>
  <c r="I2" i="1" l="1"/>
  <c r="I4" i="1" l="1"/>
  <c r="I5" i="1"/>
  <c r="I3" i="1"/>
</calcChain>
</file>

<file path=xl/sharedStrings.xml><?xml version="1.0" encoding="utf-8"?>
<sst xmlns="http://schemas.openxmlformats.org/spreadsheetml/2006/main" count="232" uniqueCount="117">
  <si>
    <t>PCS</t>
  </si>
  <si>
    <t>Screw Conveyor Bellow_Dia 224x4x500mm</t>
  </si>
  <si>
    <t>Monochrom laserjet printe rCanonLBP6030BJ</t>
  </si>
  <si>
    <t>Screw Conveyor Bellow_Dia 174x4x500mm</t>
  </si>
  <si>
    <t>Material</t>
  </si>
  <si>
    <t>Short Text</t>
  </si>
  <si>
    <t>Order Quantity</t>
  </si>
  <si>
    <t>Order Unit</t>
  </si>
  <si>
    <t>Still to be delivered (qty)</t>
  </si>
  <si>
    <t>Delivery Date</t>
  </si>
  <si>
    <t>REMARK</t>
  </si>
  <si>
    <t>PO Date</t>
  </si>
  <si>
    <t>Delivered (qty)</t>
  </si>
  <si>
    <t>Vendor</t>
  </si>
  <si>
    <t>Screw Conveyor Bellow_Dia224x4x500mm</t>
  </si>
  <si>
    <t>Monochrom laserjet printerCanonLBP6030BJ</t>
  </si>
  <si>
    <t>PO NO.</t>
  </si>
  <si>
    <t>Namrata</t>
  </si>
  <si>
    <t>Invoice Date</t>
  </si>
  <si>
    <t>Remark</t>
  </si>
  <si>
    <t>MFG</t>
  </si>
  <si>
    <t xml:space="preserve">RECEIVED DATE </t>
  </si>
  <si>
    <t>Namrata 405</t>
  </si>
  <si>
    <t>13/1/2025</t>
  </si>
  <si>
    <t>Computer Screen 19", HDMI Cable, 4GB RAM</t>
  </si>
  <si>
    <t xml:space="preserve">Need to replace due to cut </t>
  </si>
  <si>
    <t>Invoice No.</t>
  </si>
  <si>
    <t>Replacement Qty</t>
  </si>
  <si>
    <t>21/1/25</t>
  </si>
  <si>
    <t>24-25/507</t>
  </si>
  <si>
    <t>Clamp for BP bellow Dia 310mm</t>
  </si>
  <si>
    <t>Dell OptiPlex 3080 Tower</t>
  </si>
  <si>
    <t>Replacement</t>
  </si>
  <si>
    <t>Purchasing Document</t>
  </si>
  <si>
    <t>APS/ MFG</t>
  </si>
  <si>
    <t>Item</t>
  </si>
  <si>
    <t>Net price</t>
  </si>
  <si>
    <t>Document Date</t>
  </si>
  <si>
    <t>Putz DUE Delivery Date</t>
  </si>
  <si>
    <t xml:space="preserve"> Delivery Date From Store</t>
  </si>
  <si>
    <t>02.09.2024</t>
  </si>
  <si>
    <t>17.10.2024</t>
  </si>
  <si>
    <t xml:space="preserve"> 23.09.2024</t>
  </si>
  <si>
    <t xml:space="preserve"> Clamp for BP bellow Dia 310mm</t>
  </si>
  <si>
    <t>07.11.2024</t>
  </si>
  <si>
    <t>04.01.2025</t>
  </si>
  <si>
    <t>24.01.2025</t>
  </si>
  <si>
    <t>10.01.2025</t>
  </si>
  <si>
    <t>27.01.2025</t>
  </si>
  <si>
    <t>need to amend from 15 qty to 20 qty</t>
  </si>
  <si>
    <t>07.04.2025</t>
  </si>
  <si>
    <t>need to amend from 1 qty to 5 or 10 qty</t>
  </si>
  <si>
    <t>29.01.2025</t>
  </si>
  <si>
    <t>19.02.2025</t>
  </si>
  <si>
    <t>Bellow Butterfly-Valve 31 0x4x290mm</t>
  </si>
  <si>
    <t>Namrata 101</t>
  </si>
  <si>
    <t>Namrata 102</t>
  </si>
  <si>
    <t>BELLOW F. water hopper MT 1.0 IB</t>
  </si>
  <si>
    <t>Cement Hop. Bellow_Silic_ dia 205x4x400mm</t>
  </si>
  <si>
    <t>Discharge Chute Bellow_Di a 500x4x240mm</t>
  </si>
  <si>
    <t>Screw Conveyor Bellow_Dia 224x4x50</t>
  </si>
  <si>
    <t>23/4/2025</t>
  </si>
  <si>
    <t>Bearing f. Take up Housing UCT 215</t>
  </si>
  <si>
    <t>ROD END 20MM</t>
  </si>
  <si>
    <t>BEARING_TAKE UP HOUSING_UCT210</t>
  </si>
  <si>
    <t>CNZ 103</t>
  </si>
  <si>
    <t>Cement_Dust_BP60_Dia 150flexible</t>
  </si>
  <si>
    <t>M</t>
  </si>
  <si>
    <t>Vantage 104</t>
  </si>
  <si>
    <t>Vantage Rubbers</t>
  </si>
  <si>
    <t>CNZ</t>
  </si>
  <si>
    <t>24/1/25</t>
  </si>
  <si>
    <t>2qty received on 27/1/25 invoice date 24-1-25</t>
  </si>
  <si>
    <t>1qty 26/4/25</t>
  </si>
  <si>
    <t>24/4/25</t>
  </si>
  <si>
    <t>17/4/25</t>
  </si>
  <si>
    <t>Bellow Butterfly-Valve 310x4x290mm</t>
  </si>
  <si>
    <t>Namrata 105</t>
  </si>
  <si>
    <t>Namrata 106</t>
  </si>
  <si>
    <t>17/5/25</t>
  </si>
  <si>
    <t>Bellow_Butterfly-Valve_31 0x4x400mm</t>
  </si>
  <si>
    <t>19/5/25</t>
  </si>
  <si>
    <t>15/5/25</t>
  </si>
  <si>
    <t>Namrata 107</t>
  </si>
  <si>
    <t>received 1qty on 3/6/25</t>
  </si>
  <si>
    <t>received 4qty on 3/6/25</t>
  </si>
  <si>
    <t>Discharge chute bellow Ø500x4x500</t>
  </si>
  <si>
    <t>Namrata 109</t>
  </si>
  <si>
    <t>CNZ 108</t>
  </si>
  <si>
    <t>16/6/25</t>
  </si>
  <si>
    <t>1 DAMAGED got cut need to replace</t>
  </si>
  <si>
    <t>23/6/25</t>
  </si>
  <si>
    <t>16/6/25 &amp; 20/6/25</t>
  </si>
  <si>
    <t>20/6/25</t>
  </si>
  <si>
    <t>20/6/25 &amp; 23/6/25</t>
  </si>
  <si>
    <t xml:space="preserve">2 qty need to replace due to cut on it </t>
  </si>
  <si>
    <t>26/6/25</t>
  </si>
  <si>
    <t>Namrata A 201</t>
  </si>
  <si>
    <t>Namrata M 202</t>
  </si>
  <si>
    <t>Water Bellow_BP60_Dia 170 x4x300mm</t>
  </si>
  <si>
    <t>Screw conv. Bellow_Dia278 x500lg_MT3.0</t>
  </si>
  <si>
    <t>Cement_Dust_BP60_Dia 150 flexible</t>
  </si>
  <si>
    <t>DUSTFILTR BP60 DIA250mm F LEXIBLE</t>
  </si>
  <si>
    <t>Vantage M204</t>
  </si>
  <si>
    <t>CNZM 203</t>
  </si>
  <si>
    <t>DONE</t>
  </si>
  <si>
    <t>01.07.2025</t>
  </si>
  <si>
    <t>22.07.2025</t>
  </si>
  <si>
    <t>Clamp for BP bellow Dia 3 10mm</t>
  </si>
  <si>
    <t>16.08.2025</t>
  </si>
  <si>
    <t>SPRAY NOZZLE D 12.6 120 DEG SS</t>
  </si>
  <si>
    <t xml:space="preserve">Spraynoz Technologies </t>
  </si>
  <si>
    <t>Spraynoz Technologies 205</t>
  </si>
  <si>
    <t>Spraynoz Technologies 206</t>
  </si>
  <si>
    <t>17/7/25</t>
  </si>
  <si>
    <t>Received from vendor</t>
  </si>
  <si>
    <t>24.7.25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</si>
</sst>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Arial  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Helvetica-Bold"/>
    </font>
    <font>
      <sz val="11"/>
      <color rgb="FF000000"/>
      <name val="Calibri"/>
      <family val="2"/>
      <scheme val="minor"/>
    </font>
    <font>
      <sz val="11"/>
      <color rgb="FF00000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4" borderId="0" xfId="0" applyFill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2" borderId="4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43" fontId="1" fillId="6" borderId="2" xfId="1" applyFont="1" applyFill="1" applyBorder="1" applyAlignment="1">
      <alignment horizontal="center" vertical="center" wrapText="1"/>
    </xf>
    <xf numFmtId="1" fontId="1" fillId="6" borderId="2" xfId="0" applyNumberFormat="1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5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5" borderId="0" xfId="0" applyFill="1"/>
    <xf numFmtId="0" fontId="0" fillId="4" borderId="8" xfId="0" applyFill="1" applyBorder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5" borderId="5" xfId="0" applyFill="1" applyBorder="1" applyAlignment="1">
      <alignment horizontal="center" wrapText="1"/>
    </xf>
    <xf numFmtId="14" fontId="0" fillId="5" borderId="8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0" xfId="0" applyFill="1"/>
    <xf numFmtId="0" fontId="0" fillId="0" borderId="8" xfId="0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1" fontId="5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/>
    <xf numFmtId="14" fontId="7" fillId="0" borderId="0" xfId="0" applyNumberFormat="1" applyFont="1"/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8F11-29D0-4067-96FD-2AC65E783901}">
  <dimension ref="A1:N97"/>
  <sheetViews>
    <sheetView tabSelected="1" workbookViewId="0">
      <pane ySplit="1" topLeftCell="A23" activePane="bottomLeft" state="frozen"/>
      <selection pane="bottomLeft" activeCell="D28" sqref="D28"/>
    </sheetView>
  </sheetViews>
  <sheetFormatPr defaultRowHeight="14.5"/>
  <cols>
    <col min="1" max="1" width="12.90625" style="1" customWidth="1"/>
    <col min="2" max="2" width="15.7265625" style="1" bestFit="1" customWidth="1"/>
    <col min="3" max="3" width="19.26953125" style="26" bestFit="1" customWidth="1"/>
    <col min="4" max="4" width="12.1796875" style="1" bestFit="1" customWidth="1"/>
    <col min="5" max="5" width="42.26953125" style="1" bestFit="1" customWidth="1"/>
    <col min="6" max="6" width="8.1796875" bestFit="1" customWidth="1"/>
    <col min="7" max="7" width="8.08984375" customWidth="1"/>
    <col min="8" max="8" width="9.26953125" customWidth="1"/>
    <col min="9" max="9" width="8.6328125" style="23" bestFit="1" customWidth="1"/>
    <col min="10" max="10" width="8.6328125" style="87" customWidth="1"/>
    <col min="11" max="11" width="11.453125" style="1" bestFit="1" customWidth="1"/>
    <col min="12" max="12" width="10.26953125" style="1" customWidth="1"/>
    <col min="13" max="13" width="35.453125" style="2" customWidth="1"/>
    <col min="14" max="14" width="20.6328125" customWidth="1"/>
  </cols>
  <sheetData>
    <row r="1" spans="1:14" s="3" customFormat="1" ht="52">
      <c r="A1" s="4" t="s">
        <v>11</v>
      </c>
      <c r="B1" s="6" t="s">
        <v>13</v>
      </c>
      <c r="C1" s="6" t="s">
        <v>16</v>
      </c>
      <c r="D1" s="5" t="s">
        <v>4</v>
      </c>
      <c r="E1" s="4" t="s">
        <v>5</v>
      </c>
      <c r="F1" s="4" t="s">
        <v>6</v>
      </c>
      <c r="G1" s="4" t="s">
        <v>7</v>
      </c>
      <c r="H1" s="4" t="s">
        <v>12</v>
      </c>
      <c r="I1" s="8" t="s">
        <v>8</v>
      </c>
      <c r="J1" s="86" t="s">
        <v>115</v>
      </c>
      <c r="K1" s="4" t="s">
        <v>18</v>
      </c>
      <c r="L1" s="4" t="s">
        <v>9</v>
      </c>
      <c r="M1" s="6" t="s">
        <v>10</v>
      </c>
      <c r="N1" s="51"/>
    </row>
    <row r="2" spans="1:14" s="40" customFormat="1" ht="43.5">
      <c r="A2" s="47" t="s">
        <v>23</v>
      </c>
      <c r="B2" s="48" t="s">
        <v>17</v>
      </c>
      <c r="C2" s="48" t="s">
        <v>22</v>
      </c>
      <c r="D2" s="50">
        <v>616026</v>
      </c>
      <c r="E2" s="50" t="s">
        <v>14</v>
      </c>
      <c r="F2" s="40">
        <v>10</v>
      </c>
      <c r="G2" s="48" t="s">
        <v>0</v>
      </c>
      <c r="H2" s="48">
        <f>7+2+1</f>
        <v>10</v>
      </c>
      <c r="I2" s="28">
        <f t="shared" ref="I2:I36" si="0">F2-H2</f>
        <v>0</v>
      </c>
      <c r="J2" s="85"/>
      <c r="K2" s="54" t="s">
        <v>28</v>
      </c>
      <c r="L2" s="54" t="s">
        <v>71</v>
      </c>
      <c r="M2" s="49" t="s">
        <v>84</v>
      </c>
      <c r="N2" s="49" t="s">
        <v>72</v>
      </c>
    </row>
    <row r="3" spans="1:14" s="40" customFormat="1" ht="18.5" customHeight="1">
      <c r="A3" s="108">
        <v>45692</v>
      </c>
      <c r="B3" s="106" t="s">
        <v>17</v>
      </c>
      <c r="C3" s="105" t="s">
        <v>55</v>
      </c>
      <c r="D3" s="37">
        <v>616026</v>
      </c>
      <c r="E3" s="37" t="s">
        <v>1</v>
      </c>
      <c r="F3" s="37">
        <v>50</v>
      </c>
      <c r="G3" s="37" t="s">
        <v>0</v>
      </c>
      <c r="H3" s="37">
        <f>30+20</f>
        <v>50</v>
      </c>
      <c r="I3" s="28">
        <f t="shared" si="0"/>
        <v>0</v>
      </c>
      <c r="J3" s="85"/>
      <c r="K3" s="38">
        <v>45754</v>
      </c>
      <c r="L3" s="37" t="s">
        <v>75</v>
      </c>
      <c r="M3" s="39" t="s">
        <v>73</v>
      </c>
    </row>
    <row r="4" spans="1:14" s="40" customFormat="1" ht="18.5" customHeight="1">
      <c r="A4" s="108"/>
      <c r="B4" s="106"/>
      <c r="C4" s="105"/>
      <c r="D4" s="37">
        <v>615698</v>
      </c>
      <c r="E4" s="37" t="s">
        <v>3</v>
      </c>
      <c r="F4" s="37">
        <v>10</v>
      </c>
      <c r="G4" s="37" t="s">
        <v>0</v>
      </c>
      <c r="H4" s="37">
        <v>10</v>
      </c>
      <c r="I4" s="28">
        <f t="shared" si="0"/>
        <v>0</v>
      </c>
      <c r="J4" s="85"/>
      <c r="K4" s="41">
        <v>45754</v>
      </c>
      <c r="L4" s="37"/>
      <c r="M4" s="39"/>
    </row>
    <row r="5" spans="1:14" s="40" customFormat="1">
      <c r="A5" s="108"/>
      <c r="B5" s="106"/>
      <c r="C5" s="105"/>
      <c r="D5" s="37">
        <v>780236</v>
      </c>
      <c r="E5" s="37" t="s">
        <v>54</v>
      </c>
      <c r="F5" s="37">
        <v>5</v>
      </c>
      <c r="G5" s="37" t="s">
        <v>0</v>
      </c>
      <c r="H5" s="37">
        <v>5</v>
      </c>
      <c r="I5" s="28">
        <f t="shared" si="0"/>
        <v>0</v>
      </c>
      <c r="J5" s="84"/>
      <c r="K5" s="41">
        <v>45754</v>
      </c>
      <c r="L5" s="37"/>
      <c r="M5" s="52"/>
    </row>
    <row r="6" spans="1:14" s="9" customFormat="1">
      <c r="A6" s="107" t="s">
        <v>61</v>
      </c>
      <c r="B6" s="104" t="s">
        <v>17</v>
      </c>
      <c r="C6" s="109" t="s">
        <v>56</v>
      </c>
      <c r="D6" s="60">
        <v>716663</v>
      </c>
      <c r="E6" s="56" t="s">
        <v>57</v>
      </c>
      <c r="F6" s="60">
        <v>10</v>
      </c>
      <c r="G6" s="60" t="s">
        <v>0</v>
      </c>
      <c r="H6" s="17">
        <v>10</v>
      </c>
      <c r="I6" s="28">
        <f t="shared" si="0"/>
        <v>0</v>
      </c>
      <c r="J6" s="85"/>
      <c r="K6" s="56" t="s">
        <v>82</v>
      </c>
      <c r="L6" s="56" t="s">
        <v>81</v>
      </c>
      <c r="M6" s="46"/>
      <c r="N6" s="17"/>
    </row>
    <row r="7" spans="1:14" s="9" customFormat="1">
      <c r="A7" s="107"/>
      <c r="B7" s="104"/>
      <c r="C7" s="109"/>
      <c r="D7" s="54">
        <v>630059</v>
      </c>
      <c r="E7" s="56" t="s">
        <v>58</v>
      </c>
      <c r="F7" s="54">
        <v>20</v>
      </c>
      <c r="G7" s="54" t="s">
        <v>0</v>
      </c>
      <c r="H7" s="17">
        <f>11+9</f>
        <v>20</v>
      </c>
      <c r="I7" s="28">
        <f t="shared" si="0"/>
        <v>0</v>
      </c>
      <c r="J7" s="85"/>
      <c r="K7" s="56" t="s">
        <v>82</v>
      </c>
      <c r="L7" s="56" t="s">
        <v>81</v>
      </c>
      <c r="M7" s="46"/>
      <c r="N7" s="17"/>
    </row>
    <row r="8" spans="1:14" s="44" customFormat="1">
      <c r="A8" s="107"/>
      <c r="B8" s="104"/>
      <c r="C8" s="109"/>
      <c r="D8" s="28">
        <v>616039</v>
      </c>
      <c r="E8" s="22" t="s">
        <v>59</v>
      </c>
      <c r="F8" s="28">
        <v>40</v>
      </c>
      <c r="G8" s="28" t="s">
        <v>0</v>
      </c>
      <c r="H8" s="43">
        <f>1+8+12+4+7</f>
        <v>32</v>
      </c>
      <c r="I8" s="28">
        <f t="shared" si="0"/>
        <v>8</v>
      </c>
      <c r="J8" s="85"/>
      <c r="K8" s="22" t="s">
        <v>82</v>
      </c>
      <c r="L8" s="22" t="s">
        <v>81</v>
      </c>
      <c r="M8" s="36" t="s">
        <v>85</v>
      </c>
      <c r="N8" s="43"/>
    </row>
    <row r="9" spans="1:14">
      <c r="A9" s="107"/>
      <c r="B9" s="104"/>
      <c r="C9" s="109"/>
      <c r="D9" s="7">
        <v>616026</v>
      </c>
      <c r="E9" s="14" t="s">
        <v>60</v>
      </c>
      <c r="F9" s="7">
        <v>35</v>
      </c>
      <c r="G9" s="7" t="s">
        <v>0</v>
      </c>
      <c r="H9" s="13">
        <f>1+14</f>
        <v>15</v>
      </c>
      <c r="I9" s="28">
        <f t="shared" si="0"/>
        <v>20</v>
      </c>
      <c r="J9" s="85"/>
      <c r="K9" s="14" t="s">
        <v>82</v>
      </c>
      <c r="L9" s="14" t="s">
        <v>81</v>
      </c>
      <c r="M9" s="21"/>
      <c r="N9" s="13"/>
    </row>
    <row r="10" spans="1:14" s="9" customFormat="1">
      <c r="A10" s="108" t="s">
        <v>61</v>
      </c>
      <c r="B10" s="106" t="s">
        <v>70</v>
      </c>
      <c r="C10" s="105" t="s">
        <v>65</v>
      </c>
      <c r="D10" s="45">
        <v>716334</v>
      </c>
      <c r="E10" s="45" t="s">
        <v>62</v>
      </c>
      <c r="F10" s="42">
        <v>24</v>
      </c>
      <c r="G10" s="42" t="s">
        <v>0</v>
      </c>
      <c r="H10" s="17">
        <v>24</v>
      </c>
      <c r="I10" s="28">
        <f t="shared" si="0"/>
        <v>0</v>
      </c>
      <c r="J10" s="85"/>
      <c r="K10" s="56" t="s">
        <v>74</v>
      </c>
      <c r="L10" s="58">
        <v>45782</v>
      </c>
      <c r="M10" s="46"/>
      <c r="N10" s="17"/>
    </row>
    <row r="11" spans="1:14" s="9" customFormat="1">
      <c r="A11" s="108"/>
      <c r="B11" s="106"/>
      <c r="C11" s="105"/>
      <c r="D11" s="45">
        <v>695947</v>
      </c>
      <c r="E11" s="45" t="s">
        <v>63</v>
      </c>
      <c r="F11" s="42">
        <v>120</v>
      </c>
      <c r="G11" s="42" t="s">
        <v>0</v>
      </c>
      <c r="H11" s="17">
        <v>120</v>
      </c>
      <c r="I11" s="28">
        <f t="shared" si="0"/>
        <v>0</v>
      </c>
      <c r="J11" s="85"/>
      <c r="K11" s="56" t="s">
        <v>74</v>
      </c>
      <c r="L11" s="58">
        <v>45782</v>
      </c>
      <c r="M11" s="46"/>
      <c r="N11" s="17"/>
    </row>
    <row r="12" spans="1:14" s="9" customFormat="1">
      <c r="A12" s="108"/>
      <c r="B12" s="106"/>
      <c r="C12" s="105"/>
      <c r="D12" s="45">
        <v>687254</v>
      </c>
      <c r="E12" s="45" t="s">
        <v>64</v>
      </c>
      <c r="F12" s="42">
        <v>34</v>
      </c>
      <c r="G12" s="42" t="s">
        <v>0</v>
      </c>
      <c r="H12" s="17">
        <v>34</v>
      </c>
      <c r="I12" s="28">
        <f t="shared" si="0"/>
        <v>0</v>
      </c>
      <c r="J12" s="85"/>
      <c r="K12" s="56" t="s">
        <v>74</v>
      </c>
      <c r="L12" s="58">
        <v>45782</v>
      </c>
      <c r="M12" s="46"/>
      <c r="N12" s="17"/>
    </row>
    <row r="13" spans="1:14" s="9" customFormat="1">
      <c r="A13" s="55" t="s">
        <v>61</v>
      </c>
      <c r="B13" s="56" t="s">
        <v>69</v>
      </c>
      <c r="C13" s="57" t="s">
        <v>68</v>
      </c>
      <c r="D13" s="45">
        <v>635656</v>
      </c>
      <c r="E13" s="45" t="s">
        <v>66</v>
      </c>
      <c r="F13" s="54">
        <v>30</v>
      </c>
      <c r="G13" s="54" t="s">
        <v>67</v>
      </c>
      <c r="H13" s="17">
        <v>30</v>
      </c>
      <c r="I13" s="28">
        <f t="shared" si="0"/>
        <v>0</v>
      </c>
      <c r="J13" s="85"/>
      <c r="K13" s="56"/>
      <c r="L13" s="56"/>
      <c r="M13" s="46"/>
      <c r="N13" s="17"/>
    </row>
    <row r="14" spans="1:14" s="68" customFormat="1">
      <c r="A14" s="70">
        <v>45874</v>
      </c>
      <c r="B14" s="15" t="s">
        <v>17</v>
      </c>
      <c r="C14" s="71" t="s">
        <v>77</v>
      </c>
      <c r="D14" s="15">
        <v>780236</v>
      </c>
      <c r="E14" s="15" t="s">
        <v>76</v>
      </c>
      <c r="F14" s="15">
        <v>10</v>
      </c>
      <c r="G14" s="15" t="s">
        <v>0</v>
      </c>
      <c r="H14" s="66">
        <v>8</v>
      </c>
      <c r="I14" s="28">
        <f t="shared" si="0"/>
        <v>2</v>
      </c>
      <c r="J14" s="85"/>
      <c r="K14" s="65" t="s">
        <v>96</v>
      </c>
      <c r="L14" s="72">
        <v>45664</v>
      </c>
      <c r="M14" s="67" t="s">
        <v>95</v>
      </c>
      <c r="N14" s="66"/>
    </row>
    <row r="15" spans="1:14" s="9" customFormat="1">
      <c r="A15" s="112" t="s">
        <v>79</v>
      </c>
      <c r="B15" s="99" t="s">
        <v>17</v>
      </c>
      <c r="C15" s="110" t="s">
        <v>78</v>
      </c>
      <c r="D15" s="54">
        <v>630059</v>
      </c>
      <c r="E15" s="17" t="s">
        <v>58</v>
      </c>
      <c r="F15" s="54">
        <v>15</v>
      </c>
      <c r="G15" s="54" t="s">
        <v>0</v>
      </c>
      <c r="H15" s="17">
        <v>15</v>
      </c>
      <c r="I15" s="28">
        <f t="shared" si="0"/>
        <v>0</v>
      </c>
      <c r="J15" s="85"/>
      <c r="K15" s="56" t="s">
        <v>89</v>
      </c>
      <c r="L15" s="56"/>
      <c r="M15" s="46"/>
      <c r="N15" s="17"/>
    </row>
    <row r="16" spans="1:14" s="9" customFormat="1">
      <c r="A16" s="113"/>
      <c r="B16" s="100"/>
      <c r="C16" s="111"/>
      <c r="D16" s="60">
        <v>632215</v>
      </c>
      <c r="E16" s="60" t="s">
        <v>80</v>
      </c>
      <c r="F16" s="60">
        <v>10</v>
      </c>
      <c r="G16" s="60" t="s">
        <v>0</v>
      </c>
      <c r="H16" s="17">
        <v>10</v>
      </c>
      <c r="I16" s="28">
        <f t="shared" si="0"/>
        <v>0</v>
      </c>
      <c r="J16" s="85"/>
      <c r="K16" s="56" t="s">
        <v>91</v>
      </c>
      <c r="L16" s="69"/>
      <c r="M16" s="46"/>
      <c r="N16" s="17"/>
    </row>
    <row r="17" spans="1:14" s="9" customFormat="1">
      <c r="A17" s="113"/>
      <c r="B17" s="100"/>
      <c r="C17" s="111"/>
      <c r="D17" s="61">
        <v>616026</v>
      </c>
      <c r="E17" s="62" t="s">
        <v>60</v>
      </c>
      <c r="F17" s="61">
        <v>15</v>
      </c>
      <c r="G17" s="61" t="s">
        <v>0</v>
      </c>
      <c r="H17" s="64">
        <f>10+5</f>
        <v>15</v>
      </c>
      <c r="I17" s="83">
        <f t="shared" si="0"/>
        <v>0</v>
      </c>
      <c r="J17" s="84"/>
      <c r="K17" s="62" t="s">
        <v>94</v>
      </c>
      <c r="L17" s="63"/>
      <c r="M17" s="46"/>
      <c r="N17" s="17"/>
    </row>
    <row r="18" spans="1:14" s="9" customFormat="1">
      <c r="A18" s="107">
        <v>45694</v>
      </c>
      <c r="B18" s="103" t="s">
        <v>17</v>
      </c>
      <c r="C18" s="104" t="s">
        <v>83</v>
      </c>
      <c r="D18" s="54">
        <v>716663</v>
      </c>
      <c r="E18" s="56" t="s">
        <v>57</v>
      </c>
      <c r="F18" s="54">
        <v>4</v>
      </c>
      <c r="G18" s="54" t="s">
        <v>0</v>
      </c>
      <c r="H18" s="17">
        <v>4</v>
      </c>
      <c r="I18" s="28">
        <f t="shared" si="0"/>
        <v>0</v>
      </c>
      <c r="J18" s="85"/>
      <c r="K18" s="56" t="s">
        <v>89</v>
      </c>
      <c r="L18" s="56"/>
      <c r="M18" s="46"/>
      <c r="N18" s="17"/>
    </row>
    <row r="19" spans="1:14" s="9" customFormat="1">
      <c r="A19" s="107"/>
      <c r="B19" s="103"/>
      <c r="C19" s="104"/>
      <c r="D19" s="59">
        <v>630059</v>
      </c>
      <c r="E19" s="56" t="s">
        <v>58</v>
      </c>
      <c r="F19" s="59">
        <v>40</v>
      </c>
      <c r="G19" s="59" t="s">
        <v>0</v>
      </c>
      <c r="H19" s="17">
        <f>25+15</f>
        <v>40</v>
      </c>
      <c r="I19" s="28">
        <f t="shared" si="0"/>
        <v>0</v>
      </c>
      <c r="J19" s="85"/>
      <c r="K19" s="56" t="s">
        <v>92</v>
      </c>
      <c r="L19" s="56"/>
      <c r="M19" s="46"/>
      <c r="N19" s="17"/>
    </row>
    <row r="20" spans="1:14" s="68" customFormat="1" ht="16.5" customHeight="1">
      <c r="A20" s="107"/>
      <c r="B20" s="103"/>
      <c r="C20" s="104"/>
      <c r="D20" s="15">
        <v>616039</v>
      </c>
      <c r="E20" s="65" t="s">
        <v>59</v>
      </c>
      <c r="F20" s="15">
        <v>25</v>
      </c>
      <c r="G20" s="15" t="s">
        <v>0</v>
      </c>
      <c r="H20" s="66">
        <f>9+16</f>
        <v>25</v>
      </c>
      <c r="I20" s="28">
        <f t="shared" si="0"/>
        <v>0</v>
      </c>
      <c r="J20" s="85"/>
      <c r="K20" s="65" t="s">
        <v>93</v>
      </c>
      <c r="L20" s="65"/>
      <c r="M20" s="67" t="s">
        <v>95</v>
      </c>
      <c r="N20" s="66"/>
    </row>
    <row r="21" spans="1:14" s="9" customFormat="1">
      <c r="A21" s="108">
        <v>45694</v>
      </c>
      <c r="B21" s="106" t="s">
        <v>70</v>
      </c>
      <c r="C21" s="105" t="s">
        <v>88</v>
      </c>
      <c r="D21" s="45">
        <v>716334</v>
      </c>
      <c r="E21" s="45" t="s">
        <v>62</v>
      </c>
      <c r="F21" s="53">
        <v>10</v>
      </c>
      <c r="G21" s="53" t="s">
        <v>0</v>
      </c>
      <c r="H21" s="17">
        <v>10</v>
      </c>
      <c r="I21" s="28">
        <f t="shared" si="0"/>
        <v>0</v>
      </c>
      <c r="J21" s="85"/>
      <c r="K21" s="58">
        <v>45753</v>
      </c>
      <c r="L21" s="58">
        <v>45936</v>
      </c>
      <c r="M21" s="46"/>
      <c r="N21" s="17"/>
    </row>
    <row r="22" spans="1:14" s="9" customFormat="1">
      <c r="A22" s="108"/>
      <c r="B22" s="106"/>
      <c r="C22" s="105"/>
      <c r="D22" s="45">
        <v>695947</v>
      </c>
      <c r="E22" s="45" t="s">
        <v>63</v>
      </c>
      <c r="F22" s="53">
        <v>110</v>
      </c>
      <c r="G22" s="53" t="s">
        <v>0</v>
      </c>
      <c r="H22" s="17">
        <v>110</v>
      </c>
      <c r="I22" s="28">
        <f t="shared" si="0"/>
        <v>0</v>
      </c>
      <c r="J22" s="85"/>
      <c r="K22" s="58">
        <v>45753</v>
      </c>
      <c r="L22" s="58">
        <v>45936</v>
      </c>
      <c r="M22" s="46"/>
      <c r="N22" s="17"/>
    </row>
    <row r="23" spans="1:14" s="9" customFormat="1">
      <c r="A23" s="108"/>
      <c r="B23" s="106"/>
      <c r="C23" s="105"/>
      <c r="D23" s="45">
        <v>687254</v>
      </c>
      <c r="E23" s="45" t="s">
        <v>64</v>
      </c>
      <c r="F23" s="53">
        <v>50</v>
      </c>
      <c r="G23" s="53" t="s">
        <v>0</v>
      </c>
      <c r="H23" s="17">
        <v>50</v>
      </c>
      <c r="I23" s="28">
        <f t="shared" si="0"/>
        <v>0</v>
      </c>
      <c r="J23" s="85"/>
      <c r="K23" s="58">
        <v>45753</v>
      </c>
      <c r="L23" s="58">
        <v>45936</v>
      </c>
      <c r="M23" s="46"/>
      <c r="N23" s="17"/>
    </row>
    <row r="24" spans="1:14" s="68" customFormat="1">
      <c r="A24" s="73">
        <v>45997</v>
      </c>
      <c r="B24" s="15" t="s">
        <v>17</v>
      </c>
      <c r="C24" s="74" t="s">
        <v>87</v>
      </c>
      <c r="D24" s="15">
        <v>713141</v>
      </c>
      <c r="E24" s="15" t="s">
        <v>86</v>
      </c>
      <c r="F24" s="15">
        <v>4</v>
      </c>
      <c r="G24" s="15" t="s">
        <v>0</v>
      </c>
      <c r="H24" s="66">
        <v>4</v>
      </c>
      <c r="I24" s="22">
        <f t="shared" si="0"/>
        <v>0</v>
      </c>
      <c r="J24" s="76"/>
      <c r="K24" s="65" t="s">
        <v>89</v>
      </c>
      <c r="L24" s="65"/>
      <c r="M24" s="67" t="s">
        <v>90</v>
      </c>
      <c r="N24" s="66"/>
    </row>
    <row r="25" spans="1:14" s="79" customFormat="1">
      <c r="A25" s="102">
        <v>45723</v>
      </c>
      <c r="B25" s="99" t="s">
        <v>17</v>
      </c>
      <c r="C25" s="99" t="s">
        <v>97</v>
      </c>
      <c r="D25" s="90">
        <v>616039</v>
      </c>
      <c r="E25" s="90" t="s">
        <v>59</v>
      </c>
      <c r="F25" s="90">
        <v>3</v>
      </c>
      <c r="G25" s="76" t="s">
        <v>0</v>
      </c>
      <c r="H25" s="77"/>
      <c r="I25" s="22">
        <f t="shared" si="0"/>
        <v>3</v>
      </c>
      <c r="J25" s="76"/>
      <c r="K25" s="76"/>
      <c r="L25" s="76"/>
      <c r="M25" s="78"/>
      <c r="N25" s="77"/>
    </row>
    <row r="26" spans="1:14" s="79" customFormat="1">
      <c r="A26" s="95"/>
      <c r="B26" s="100"/>
      <c r="C26" s="100"/>
      <c r="D26" s="90">
        <v>646872</v>
      </c>
      <c r="E26" s="90" t="s">
        <v>99</v>
      </c>
      <c r="F26" s="90">
        <v>10</v>
      </c>
      <c r="G26" s="76" t="s">
        <v>0</v>
      </c>
      <c r="H26" s="77"/>
      <c r="I26" s="22">
        <f t="shared" si="0"/>
        <v>10</v>
      </c>
      <c r="J26" s="76"/>
      <c r="K26" s="76"/>
      <c r="L26" s="76"/>
      <c r="M26" s="78"/>
      <c r="N26" s="77"/>
    </row>
    <row r="27" spans="1:14" s="79" customFormat="1">
      <c r="A27" s="96"/>
      <c r="B27" s="101"/>
      <c r="C27" s="101"/>
      <c r="D27" s="90">
        <v>632215</v>
      </c>
      <c r="E27" s="90" t="s">
        <v>80</v>
      </c>
      <c r="F27" s="90">
        <v>10</v>
      </c>
      <c r="G27" s="76" t="s">
        <v>0</v>
      </c>
      <c r="H27" s="77"/>
      <c r="I27" s="22">
        <f t="shared" si="0"/>
        <v>10</v>
      </c>
      <c r="J27" s="76"/>
      <c r="K27" s="76"/>
      <c r="L27" s="76"/>
      <c r="M27" s="78"/>
      <c r="N27" s="77"/>
    </row>
    <row r="28" spans="1:14" s="79" customFormat="1">
      <c r="A28" s="102">
        <v>45723</v>
      </c>
      <c r="B28" s="99" t="s">
        <v>17</v>
      </c>
      <c r="C28" s="99" t="s">
        <v>98</v>
      </c>
      <c r="D28" s="14">
        <v>663093</v>
      </c>
      <c r="E28" s="14" t="s">
        <v>100</v>
      </c>
      <c r="F28" s="14">
        <v>2</v>
      </c>
      <c r="G28" s="76" t="s">
        <v>0</v>
      </c>
      <c r="H28" s="77"/>
      <c r="I28" s="22">
        <f t="shared" si="0"/>
        <v>2</v>
      </c>
      <c r="J28" s="76"/>
      <c r="K28" s="76"/>
      <c r="L28" s="76"/>
      <c r="M28" s="78"/>
      <c r="N28" s="77"/>
    </row>
    <row r="29" spans="1:14">
      <c r="A29" s="95"/>
      <c r="B29" s="100"/>
      <c r="C29" s="100"/>
      <c r="D29" s="14">
        <v>646872</v>
      </c>
      <c r="E29" s="14" t="s">
        <v>99</v>
      </c>
      <c r="F29" s="90">
        <v>10</v>
      </c>
      <c r="G29" s="76" t="s">
        <v>0</v>
      </c>
      <c r="H29" s="13"/>
      <c r="I29" s="22">
        <f t="shared" si="0"/>
        <v>10</v>
      </c>
      <c r="J29" s="76"/>
      <c r="K29" s="14"/>
      <c r="L29" s="14"/>
      <c r="M29" s="21"/>
      <c r="N29" s="13"/>
    </row>
    <row r="30" spans="1:14">
      <c r="A30" s="95"/>
      <c r="B30" s="100"/>
      <c r="C30" s="100"/>
      <c r="D30" s="14">
        <v>632215</v>
      </c>
      <c r="E30" s="14" t="s">
        <v>80</v>
      </c>
      <c r="F30" s="90">
        <v>8</v>
      </c>
      <c r="G30" s="76" t="s">
        <v>0</v>
      </c>
      <c r="H30" s="13"/>
      <c r="I30" s="22">
        <f t="shared" si="0"/>
        <v>8</v>
      </c>
      <c r="J30" s="76"/>
      <c r="K30" s="14"/>
      <c r="L30" s="14"/>
      <c r="M30" s="21"/>
      <c r="N30" s="13"/>
    </row>
    <row r="31" spans="1:14">
      <c r="A31" s="96"/>
      <c r="B31" s="101"/>
      <c r="C31" s="101"/>
      <c r="D31" s="14">
        <v>616026</v>
      </c>
      <c r="E31" s="14" t="s">
        <v>1</v>
      </c>
      <c r="F31" s="90">
        <v>13</v>
      </c>
      <c r="G31" s="76" t="s">
        <v>0</v>
      </c>
      <c r="H31" s="13"/>
      <c r="I31" s="22">
        <f t="shared" si="0"/>
        <v>13</v>
      </c>
      <c r="J31" s="76"/>
      <c r="K31" s="14"/>
      <c r="L31" s="14"/>
      <c r="M31" s="21"/>
      <c r="N31" s="13"/>
    </row>
    <row r="32" spans="1:14">
      <c r="A32" s="91">
        <v>45723</v>
      </c>
      <c r="B32" s="14" t="s">
        <v>70</v>
      </c>
      <c r="C32" s="25" t="s">
        <v>104</v>
      </c>
      <c r="D32" s="82">
        <v>695947</v>
      </c>
      <c r="E32" s="82" t="s">
        <v>63</v>
      </c>
      <c r="F32" s="90">
        <v>100</v>
      </c>
      <c r="G32" s="76" t="s">
        <v>0</v>
      </c>
      <c r="H32" s="13"/>
      <c r="I32" s="22">
        <f t="shared" si="0"/>
        <v>100</v>
      </c>
      <c r="J32" s="76"/>
      <c r="K32" s="14"/>
      <c r="L32" s="14"/>
      <c r="M32" s="21"/>
      <c r="N32" s="13"/>
    </row>
    <row r="33" spans="1:14">
      <c r="A33" s="95">
        <v>45723</v>
      </c>
      <c r="B33" s="93" t="s">
        <v>69</v>
      </c>
      <c r="C33" s="97" t="s">
        <v>103</v>
      </c>
      <c r="D33" s="90">
        <v>635656</v>
      </c>
      <c r="E33" s="14" t="s">
        <v>101</v>
      </c>
      <c r="F33" s="114">
        <v>30</v>
      </c>
      <c r="G33" s="76" t="s">
        <v>67</v>
      </c>
      <c r="H33" s="13"/>
      <c r="I33" s="22">
        <f t="shared" si="0"/>
        <v>30</v>
      </c>
      <c r="J33" s="76"/>
      <c r="K33" s="14"/>
      <c r="L33" s="14"/>
      <c r="M33" s="21"/>
      <c r="N33" s="13"/>
    </row>
    <row r="34" spans="1:14">
      <c r="A34" s="96"/>
      <c r="B34" s="94"/>
      <c r="C34" s="98"/>
      <c r="D34" s="90">
        <v>635655</v>
      </c>
      <c r="E34" s="14" t="s">
        <v>102</v>
      </c>
      <c r="F34" s="114">
        <v>30</v>
      </c>
      <c r="G34" s="76" t="s">
        <v>67</v>
      </c>
      <c r="H34" s="13"/>
      <c r="I34" s="22">
        <f t="shared" si="0"/>
        <v>30</v>
      </c>
      <c r="J34" s="76"/>
      <c r="K34" s="14"/>
      <c r="L34" s="14"/>
      <c r="M34" s="21"/>
      <c r="N34" s="13"/>
    </row>
    <row r="35" spans="1:14" s="9" customFormat="1" ht="30.5" customHeight="1">
      <c r="A35" s="92">
        <v>45754</v>
      </c>
      <c r="B35" s="57" t="s">
        <v>111</v>
      </c>
      <c r="C35" s="57" t="s">
        <v>112</v>
      </c>
      <c r="D35" s="88">
        <v>772264</v>
      </c>
      <c r="E35" s="45" t="s">
        <v>110</v>
      </c>
      <c r="F35" s="89">
        <v>20</v>
      </c>
      <c r="G35" s="56" t="s">
        <v>0</v>
      </c>
      <c r="H35" s="17">
        <v>20</v>
      </c>
      <c r="I35" s="56">
        <f t="shared" si="0"/>
        <v>0</v>
      </c>
      <c r="J35" s="56" t="s">
        <v>116</v>
      </c>
      <c r="K35" s="56"/>
      <c r="L35" s="56"/>
      <c r="M35" s="46"/>
      <c r="N35" s="17"/>
    </row>
    <row r="36" spans="1:14" ht="29">
      <c r="A36" s="14" t="s">
        <v>114</v>
      </c>
      <c r="B36" s="25" t="s">
        <v>111</v>
      </c>
      <c r="C36" s="25" t="s">
        <v>113</v>
      </c>
      <c r="D36" s="81">
        <v>772264</v>
      </c>
      <c r="E36" s="82" t="s">
        <v>110</v>
      </c>
      <c r="F36" s="13">
        <v>30</v>
      </c>
      <c r="G36" s="76" t="s">
        <v>0</v>
      </c>
      <c r="H36" s="13"/>
      <c r="I36" s="22">
        <f t="shared" si="0"/>
        <v>30</v>
      </c>
      <c r="J36" s="76"/>
      <c r="K36" s="14"/>
      <c r="L36" s="14"/>
      <c r="M36" s="21"/>
      <c r="N36" s="13"/>
    </row>
    <row r="37" spans="1:14">
      <c r="A37" s="14"/>
      <c r="B37" s="14"/>
      <c r="C37" s="25"/>
      <c r="D37" s="14"/>
      <c r="E37" s="14"/>
      <c r="F37" s="13"/>
      <c r="G37" s="13"/>
      <c r="H37" s="13"/>
      <c r="I37" s="22"/>
      <c r="J37" s="76"/>
      <c r="K37" s="14"/>
      <c r="L37" s="14"/>
      <c r="M37" s="21"/>
      <c r="N37" s="13"/>
    </row>
    <row r="38" spans="1:14">
      <c r="A38" s="14"/>
      <c r="B38" s="14"/>
      <c r="C38" s="25"/>
      <c r="D38" s="14"/>
      <c r="E38" s="14"/>
      <c r="F38" s="13"/>
      <c r="G38" s="13"/>
      <c r="H38" s="13"/>
      <c r="I38" s="22"/>
      <c r="J38" s="76"/>
      <c r="K38" s="14"/>
      <c r="L38" s="14"/>
      <c r="M38" s="21"/>
      <c r="N38" s="13"/>
    </row>
    <row r="39" spans="1:14">
      <c r="A39" s="14"/>
      <c r="B39" s="14"/>
      <c r="C39" s="25"/>
      <c r="D39" s="14"/>
      <c r="E39" s="14"/>
      <c r="F39" s="13"/>
      <c r="G39" s="13"/>
      <c r="H39" s="13"/>
      <c r="I39" s="22"/>
      <c r="J39" s="76"/>
      <c r="K39" s="14"/>
      <c r="L39" s="14"/>
      <c r="M39" s="21"/>
      <c r="N39" s="13"/>
    </row>
    <row r="40" spans="1:14">
      <c r="A40" s="14"/>
      <c r="B40" s="14"/>
      <c r="C40" s="25"/>
      <c r="D40" s="14"/>
      <c r="E40" s="14"/>
      <c r="F40" s="13"/>
      <c r="G40" s="13"/>
      <c r="H40" s="13"/>
      <c r="I40" s="22"/>
      <c r="J40" s="76"/>
      <c r="K40" s="14"/>
      <c r="L40" s="14"/>
      <c r="M40" s="21"/>
      <c r="N40" s="13"/>
    </row>
    <row r="41" spans="1:14">
      <c r="A41" s="14"/>
      <c r="B41" s="14"/>
      <c r="C41" s="25"/>
      <c r="D41" s="14"/>
      <c r="E41" s="14"/>
      <c r="F41" s="13"/>
      <c r="G41" s="13"/>
      <c r="H41" s="13"/>
      <c r="I41" s="22"/>
      <c r="J41" s="76"/>
      <c r="K41" s="14"/>
      <c r="L41" s="14"/>
      <c r="M41" s="21"/>
      <c r="N41" s="13"/>
    </row>
    <row r="42" spans="1:14">
      <c r="A42" s="14"/>
      <c r="B42" s="14"/>
      <c r="C42" s="25"/>
      <c r="D42" s="14"/>
      <c r="E42" s="14"/>
      <c r="F42" s="13"/>
      <c r="G42" s="13"/>
      <c r="H42" s="13"/>
      <c r="I42" s="22"/>
      <c r="J42" s="76"/>
      <c r="K42" s="14"/>
      <c r="L42" s="14"/>
      <c r="M42" s="21"/>
      <c r="N42" s="13"/>
    </row>
    <row r="43" spans="1:14">
      <c r="A43" s="14"/>
      <c r="B43" s="14"/>
      <c r="C43" s="25"/>
      <c r="D43" s="14"/>
      <c r="E43" s="14"/>
      <c r="F43" s="13"/>
      <c r="G43" s="13"/>
      <c r="H43" s="13"/>
      <c r="I43" s="22"/>
      <c r="J43" s="76"/>
      <c r="K43" s="14"/>
      <c r="L43" s="14"/>
      <c r="M43" s="21"/>
      <c r="N43" s="13"/>
    </row>
    <row r="44" spans="1:14">
      <c r="A44" s="14"/>
      <c r="B44" s="14"/>
      <c r="C44" s="25"/>
      <c r="D44" s="14"/>
      <c r="E44" s="14"/>
      <c r="F44" s="13"/>
      <c r="G44" s="13"/>
      <c r="H44" s="13"/>
      <c r="I44" s="22"/>
      <c r="J44" s="76"/>
      <c r="K44" s="14"/>
      <c r="L44" s="14"/>
      <c r="M44" s="21"/>
      <c r="N44" s="13"/>
    </row>
    <row r="45" spans="1:14">
      <c r="A45" s="14"/>
      <c r="B45" s="14"/>
      <c r="C45" s="25"/>
      <c r="D45" s="14"/>
      <c r="E45" s="14"/>
      <c r="F45" s="13"/>
      <c r="G45" s="13"/>
      <c r="H45" s="13"/>
      <c r="I45" s="22"/>
      <c r="J45" s="76"/>
      <c r="K45" s="14"/>
      <c r="L45" s="14"/>
      <c r="M45" s="21"/>
      <c r="N45" s="13"/>
    </row>
    <row r="46" spans="1:14">
      <c r="A46" s="14"/>
      <c r="B46" s="14"/>
      <c r="C46" s="25"/>
      <c r="D46" s="14"/>
      <c r="E46" s="14"/>
      <c r="F46" s="13"/>
      <c r="G46" s="13"/>
      <c r="H46" s="13"/>
      <c r="I46" s="22"/>
      <c r="J46" s="76"/>
      <c r="K46" s="14"/>
      <c r="L46" s="14"/>
      <c r="M46" s="21"/>
      <c r="N46" s="13"/>
    </row>
    <row r="47" spans="1:14">
      <c r="A47" s="14"/>
      <c r="B47" s="14"/>
      <c r="C47" s="25"/>
      <c r="D47" s="14"/>
      <c r="E47" s="14"/>
      <c r="F47" s="13"/>
      <c r="G47" s="13"/>
      <c r="H47" s="13"/>
      <c r="I47" s="22"/>
      <c r="J47" s="76"/>
      <c r="K47" s="14"/>
      <c r="L47" s="14"/>
      <c r="M47" s="21"/>
      <c r="N47" s="13"/>
    </row>
    <row r="48" spans="1:14">
      <c r="A48" s="14"/>
      <c r="B48" s="14"/>
      <c r="C48" s="25"/>
      <c r="D48" s="14"/>
      <c r="E48" s="14"/>
      <c r="F48" s="13"/>
      <c r="G48" s="13"/>
      <c r="H48" s="13"/>
      <c r="I48" s="22"/>
      <c r="J48" s="76"/>
      <c r="K48" s="14"/>
      <c r="L48" s="14"/>
      <c r="M48" s="21"/>
      <c r="N48" s="13"/>
    </row>
    <row r="49" spans="1:14">
      <c r="A49" s="14"/>
      <c r="B49" s="14"/>
      <c r="C49" s="25"/>
      <c r="D49" s="14"/>
      <c r="E49" s="14"/>
      <c r="F49" s="13"/>
      <c r="G49" s="13"/>
      <c r="H49" s="13"/>
      <c r="I49" s="22"/>
      <c r="J49" s="76"/>
      <c r="K49" s="14"/>
      <c r="L49" s="14"/>
      <c r="M49" s="21"/>
      <c r="N49" s="13"/>
    </row>
    <row r="50" spans="1:14">
      <c r="A50" s="14"/>
      <c r="B50" s="14"/>
      <c r="C50" s="25"/>
      <c r="D50" s="14"/>
      <c r="E50" s="14"/>
      <c r="F50" s="13"/>
      <c r="G50" s="13"/>
      <c r="H50" s="13"/>
      <c r="I50" s="22"/>
      <c r="J50" s="76"/>
      <c r="K50" s="14"/>
      <c r="L50" s="14"/>
      <c r="M50" s="21"/>
      <c r="N50" s="13"/>
    </row>
    <row r="51" spans="1:14">
      <c r="A51" s="14"/>
      <c r="B51" s="14"/>
      <c r="C51" s="25"/>
      <c r="D51" s="14"/>
      <c r="E51" s="14"/>
      <c r="F51" s="13"/>
      <c r="G51" s="13"/>
      <c r="H51" s="13"/>
      <c r="I51" s="22"/>
      <c r="J51" s="76"/>
      <c r="K51" s="14"/>
      <c r="L51" s="14"/>
      <c r="M51" s="21"/>
      <c r="N51" s="13"/>
    </row>
    <row r="52" spans="1:14">
      <c r="A52" s="14"/>
      <c r="B52" s="14"/>
      <c r="C52" s="25"/>
      <c r="D52" s="14"/>
      <c r="E52" s="14"/>
      <c r="F52" s="13"/>
      <c r="G52" s="13"/>
      <c r="H52" s="13"/>
      <c r="I52" s="22"/>
      <c r="J52" s="76"/>
      <c r="K52" s="14"/>
      <c r="L52" s="14"/>
      <c r="M52" s="21"/>
      <c r="N52" s="13"/>
    </row>
    <row r="53" spans="1:14">
      <c r="A53" s="14"/>
      <c r="B53" s="14"/>
      <c r="C53" s="25"/>
      <c r="D53" s="14"/>
      <c r="E53" s="14"/>
      <c r="F53" s="13"/>
      <c r="G53" s="13"/>
      <c r="H53" s="13"/>
      <c r="I53" s="22"/>
      <c r="J53" s="76"/>
      <c r="K53" s="14"/>
      <c r="L53" s="14"/>
      <c r="M53" s="21"/>
      <c r="N53" s="13"/>
    </row>
    <row r="54" spans="1:14">
      <c r="A54" s="14"/>
      <c r="B54" s="14"/>
      <c r="C54" s="25"/>
      <c r="D54" s="14"/>
      <c r="E54" s="14"/>
      <c r="F54" s="13"/>
      <c r="G54" s="13"/>
      <c r="H54" s="13"/>
      <c r="I54" s="22"/>
      <c r="J54" s="76"/>
      <c r="K54" s="14"/>
      <c r="L54" s="14"/>
      <c r="M54" s="21"/>
      <c r="N54" s="13"/>
    </row>
    <row r="55" spans="1:14">
      <c r="A55" s="14"/>
      <c r="B55" s="14"/>
      <c r="C55" s="25"/>
      <c r="D55" s="14"/>
      <c r="E55" s="14"/>
      <c r="F55" s="13"/>
      <c r="G55" s="13"/>
      <c r="H55" s="13"/>
      <c r="I55" s="22"/>
      <c r="J55" s="76"/>
      <c r="K55" s="14"/>
      <c r="L55" s="14"/>
      <c r="M55" s="21"/>
      <c r="N55" s="13"/>
    </row>
    <row r="56" spans="1:14">
      <c r="A56" s="14"/>
      <c r="B56" s="14"/>
      <c r="C56" s="25"/>
      <c r="D56" s="14"/>
      <c r="E56" s="14"/>
      <c r="F56" s="13"/>
      <c r="G56" s="13"/>
      <c r="H56" s="13"/>
      <c r="I56" s="22"/>
      <c r="J56" s="76"/>
      <c r="K56" s="14"/>
      <c r="L56" s="14"/>
      <c r="M56" s="21"/>
      <c r="N56" s="13"/>
    </row>
    <row r="57" spans="1:14">
      <c r="A57" s="14"/>
      <c r="B57" s="14"/>
      <c r="C57" s="25"/>
      <c r="D57" s="14"/>
      <c r="E57" s="14"/>
      <c r="F57" s="13"/>
      <c r="G57" s="13"/>
      <c r="H57" s="13"/>
      <c r="I57" s="22"/>
      <c r="J57" s="76"/>
      <c r="K57" s="14"/>
      <c r="L57" s="14"/>
      <c r="M57" s="21"/>
      <c r="N57" s="13"/>
    </row>
    <row r="58" spans="1:14">
      <c r="A58" s="14"/>
      <c r="B58" s="14"/>
      <c r="C58" s="25"/>
      <c r="D58" s="14"/>
      <c r="E58" s="14"/>
      <c r="F58" s="13"/>
      <c r="G58" s="13"/>
      <c r="H58" s="13"/>
      <c r="I58" s="22"/>
      <c r="J58" s="76"/>
      <c r="K58" s="14"/>
      <c r="L58" s="14"/>
      <c r="M58" s="21"/>
      <c r="N58" s="13"/>
    </row>
    <row r="59" spans="1:14">
      <c r="A59" s="14"/>
      <c r="B59" s="14"/>
      <c r="C59" s="25"/>
      <c r="D59" s="14"/>
      <c r="E59" s="14"/>
      <c r="F59" s="13"/>
      <c r="G59" s="13"/>
      <c r="H59" s="13"/>
      <c r="I59" s="22"/>
      <c r="J59" s="76"/>
      <c r="K59" s="14"/>
      <c r="L59" s="14"/>
      <c r="M59" s="21"/>
      <c r="N59" s="13"/>
    </row>
    <row r="60" spans="1:14">
      <c r="A60" s="14"/>
      <c r="B60" s="14"/>
      <c r="C60" s="25"/>
      <c r="D60" s="14"/>
      <c r="E60" s="14"/>
      <c r="F60" s="13"/>
      <c r="G60" s="13"/>
      <c r="H60" s="13"/>
      <c r="I60" s="22"/>
      <c r="J60" s="76"/>
      <c r="K60" s="14"/>
      <c r="L60" s="14"/>
      <c r="M60" s="21"/>
      <c r="N60" s="13"/>
    </row>
    <row r="61" spans="1:14">
      <c r="A61" s="14"/>
      <c r="B61" s="14"/>
      <c r="C61" s="25"/>
      <c r="D61" s="14"/>
      <c r="E61" s="14"/>
      <c r="F61" s="13"/>
      <c r="G61" s="13"/>
      <c r="H61" s="13"/>
      <c r="I61" s="22"/>
      <c r="J61" s="76"/>
      <c r="K61" s="14"/>
      <c r="L61" s="14"/>
      <c r="M61" s="21"/>
      <c r="N61" s="13"/>
    </row>
    <row r="62" spans="1:14">
      <c r="A62" s="14"/>
      <c r="B62" s="14"/>
      <c r="C62" s="25"/>
      <c r="D62" s="14"/>
      <c r="E62" s="14"/>
      <c r="F62" s="13"/>
      <c r="G62" s="13"/>
      <c r="H62" s="13"/>
      <c r="I62" s="22"/>
      <c r="J62" s="76"/>
      <c r="K62" s="14"/>
      <c r="L62" s="14"/>
      <c r="M62" s="21"/>
      <c r="N62" s="13"/>
    </row>
    <row r="63" spans="1:14">
      <c r="A63" s="14"/>
      <c r="B63" s="14"/>
      <c r="C63" s="25"/>
      <c r="D63" s="14"/>
      <c r="E63" s="14"/>
      <c r="F63" s="13"/>
      <c r="G63" s="13"/>
      <c r="H63" s="13"/>
      <c r="I63" s="22"/>
      <c r="J63" s="76"/>
      <c r="K63" s="14"/>
      <c r="L63" s="14"/>
      <c r="M63" s="21"/>
      <c r="N63" s="13"/>
    </row>
    <row r="64" spans="1:14">
      <c r="A64" s="14"/>
      <c r="B64" s="14"/>
      <c r="C64" s="25"/>
      <c r="D64" s="14"/>
      <c r="E64" s="14"/>
      <c r="F64" s="13"/>
      <c r="G64" s="13"/>
      <c r="H64" s="13"/>
      <c r="I64" s="22"/>
      <c r="J64" s="76"/>
      <c r="K64" s="14"/>
      <c r="L64" s="14"/>
      <c r="M64" s="21"/>
      <c r="N64" s="13"/>
    </row>
    <row r="65" spans="1:14">
      <c r="A65" s="14"/>
      <c r="B65" s="14"/>
      <c r="C65" s="25"/>
      <c r="D65" s="14"/>
      <c r="E65" s="14"/>
      <c r="F65" s="13"/>
      <c r="G65" s="13"/>
      <c r="H65" s="13"/>
      <c r="I65" s="22"/>
      <c r="J65" s="76"/>
      <c r="K65" s="14"/>
      <c r="L65" s="14"/>
      <c r="M65" s="21"/>
      <c r="N65" s="13"/>
    </row>
    <row r="66" spans="1:14">
      <c r="A66" s="14"/>
      <c r="B66" s="14"/>
      <c r="C66" s="25"/>
      <c r="D66" s="14"/>
      <c r="E66" s="14"/>
      <c r="F66" s="13"/>
      <c r="G66" s="13"/>
      <c r="H66" s="13"/>
      <c r="I66" s="22"/>
      <c r="J66" s="76"/>
      <c r="K66" s="14"/>
      <c r="L66" s="14"/>
      <c r="M66" s="21"/>
      <c r="N66" s="13"/>
    </row>
    <row r="67" spans="1:14">
      <c r="A67" s="14"/>
      <c r="B67" s="14"/>
      <c r="C67" s="25"/>
      <c r="D67" s="14"/>
      <c r="E67" s="14"/>
      <c r="F67" s="13"/>
      <c r="G67" s="13"/>
      <c r="H67" s="13"/>
      <c r="I67" s="22"/>
      <c r="J67" s="76"/>
      <c r="K67" s="14"/>
      <c r="L67" s="14"/>
      <c r="M67" s="21"/>
      <c r="N67" s="13"/>
    </row>
    <row r="68" spans="1:14">
      <c r="A68" s="14"/>
      <c r="B68" s="14"/>
      <c r="C68" s="25"/>
      <c r="D68" s="14"/>
      <c r="E68" s="14"/>
      <c r="F68" s="13"/>
      <c r="G68" s="13"/>
      <c r="H68" s="13"/>
      <c r="I68" s="22"/>
      <c r="J68" s="76"/>
      <c r="K68" s="14"/>
      <c r="L68" s="14"/>
      <c r="M68" s="21"/>
      <c r="N68" s="13"/>
    </row>
    <row r="69" spans="1:14">
      <c r="A69" s="14"/>
      <c r="B69" s="14"/>
      <c r="C69" s="25"/>
      <c r="D69" s="14"/>
      <c r="E69" s="14"/>
      <c r="F69" s="13"/>
      <c r="G69" s="13"/>
      <c r="H69" s="13"/>
      <c r="I69" s="22"/>
      <c r="J69" s="76"/>
      <c r="K69" s="14"/>
      <c r="L69" s="14"/>
      <c r="M69" s="21"/>
      <c r="N69" s="13"/>
    </row>
    <row r="70" spans="1:14">
      <c r="A70" s="14"/>
      <c r="B70" s="14"/>
      <c r="C70" s="25"/>
      <c r="D70" s="14"/>
      <c r="E70" s="14"/>
      <c r="F70" s="13"/>
      <c r="G70" s="13"/>
      <c r="H70" s="13"/>
      <c r="I70" s="22"/>
      <c r="J70" s="76"/>
      <c r="K70" s="14"/>
      <c r="L70" s="14"/>
      <c r="M70" s="21"/>
      <c r="N70" s="13"/>
    </row>
    <row r="71" spans="1:14">
      <c r="A71" s="14"/>
      <c r="B71" s="14"/>
      <c r="C71" s="25"/>
      <c r="D71" s="14"/>
      <c r="E71" s="14"/>
      <c r="F71" s="13"/>
      <c r="G71" s="13"/>
      <c r="H71" s="13"/>
      <c r="I71" s="22"/>
      <c r="J71" s="76"/>
      <c r="K71" s="14"/>
      <c r="L71" s="14"/>
      <c r="M71" s="21"/>
      <c r="N71" s="13"/>
    </row>
    <row r="72" spans="1:14">
      <c r="A72" s="14"/>
      <c r="B72" s="14"/>
      <c r="C72" s="25"/>
      <c r="D72" s="14"/>
      <c r="E72" s="14"/>
      <c r="F72" s="13"/>
      <c r="G72" s="13"/>
      <c r="H72" s="13"/>
      <c r="I72" s="22"/>
      <c r="J72" s="76"/>
      <c r="K72" s="14"/>
      <c r="L72" s="14"/>
      <c r="M72" s="21"/>
      <c r="N72" s="13"/>
    </row>
    <row r="73" spans="1:14">
      <c r="A73" s="14"/>
      <c r="B73" s="14"/>
      <c r="C73" s="25"/>
      <c r="D73" s="14"/>
      <c r="E73" s="14"/>
      <c r="F73" s="13"/>
      <c r="G73" s="13"/>
      <c r="H73" s="13"/>
      <c r="I73" s="22"/>
      <c r="J73" s="76"/>
      <c r="K73" s="14"/>
      <c r="L73" s="14"/>
      <c r="M73" s="21"/>
      <c r="N73" s="13"/>
    </row>
    <row r="74" spans="1:14">
      <c r="A74" s="14"/>
      <c r="B74" s="14"/>
      <c r="C74" s="25"/>
      <c r="D74" s="14"/>
      <c r="E74" s="14"/>
      <c r="F74" s="13"/>
      <c r="G74" s="13"/>
      <c r="H74" s="13"/>
      <c r="I74" s="22"/>
      <c r="J74" s="76"/>
      <c r="K74" s="14"/>
      <c r="L74" s="14"/>
      <c r="M74" s="21"/>
      <c r="N74" s="13"/>
    </row>
    <row r="75" spans="1:14">
      <c r="A75" s="14"/>
      <c r="B75" s="14"/>
      <c r="C75" s="25"/>
      <c r="D75" s="14"/>
      <c r="E75" s="14"/>
      <c r="F75" s="13"/>
      <c r="G75" s="13"/>
      <c r="H75" s="13"/>
      <c r="I75" s="22"/>
      <c r="J75" s="76"/>
      <c r="K75" s="14"/>
      <c r="L75" s="14"/>
      <c r="M75" s="21"/>
      <c r="N75" s="13"/>
    </row>
    <row r="76" spans="1:14">
      <c r="A76" s="14"/>
      <c r="B76" s="14"/>
      <c r="C76" s="25"/>
      <c r="D76" s="14"/>
      <c r="E76" s="14"/>
      <c r="F76" s="13"/>
      <c r="G76" s="13"/>
      <c r="H76" s="13"/>
      <c r="I76" s="22"/>
      <c r="J76" s="76"/>
      <c r="K76" s="14"/>
      <c r="L76" s="14"/>
      <c r="M76" s="21"/>
      <c r="N76" s="13"/>
    </row>
    <row r="77" spans="1:14">
      <c r="A77" s="14"/>
      <c r="B77" s="14"/>
      <c r="C77" s="25"/>
      <c r="D77" s="14"/>
      <c r="E77" s="14"/>
      <c r="F77" s="13"/>
      <c r="G77" s="13"/>
      <c r="H77" s="13"/>
      <c r="I77" s="22"/>
      <c r="J77" s="76"/>
      <c r="K77" s="14"/>
      <c r="L77" s="14"/>
      <c r="M77" s="21"/>
      <c r="N77" s="13"/>
    </row>
    <row r="78" spans="1:14">
      <c r="A78" s="14"/>
      <c r="B78" s="14"/>
      <c r="C78" s="25"/>
      <c r="D78" s="14"/>
      <c r="E78" s="14"/>
      <c r="F78" s="13"/>
      <c r="G78" s="13"/>
      <c r="H78" s="13"/>
      <c r="I78" s="22"/>
      <c r="J78" s="76"/>
      <c r="K78" s="14"/>
      <c r="L78" s="14"/>
      <c r="M78" s="21"/>
      <c r="N78" s="13"/>
    </row>
    <row r="79" spans="1:14">
      <c r="A79" s="14"/>
      <c r="B79" s="14"/>
      <c r="C79" s="25"/>
      <c r="D79" s="14"/>
      <c r="E79" s="14"/>
      <c r="F79" s="13"/>
      <c r="G79" s="13"/>
      <c r="H79" s="13"/>
      <c r="I79" s="22"/>
      <c r="J79" s="76"/>
      <c r="K79" s="14"/>
      <c r="L79" s="14"/>
      <c r="M79" s="21"/>
      <c r="N79" s="13"/>
    </row>
    <row r="80" spans="1:14">
      <c r="A80" s="14"/>
      <c r="B80" s="14"/>
      <c r="C80" s="25"/>
      <c r="D80" s="14"/>
      <c r="E80" s="14"/>
      <c r="F80" s="13"/>
      <c r="G80" s="13"/>
      <c r="H80" s="13"/>
      <c r="I80" s="22"/>
      <c r="J80" s="76"/>
      <c r="K80" s="14"/>
      <c r="L80" s="14"/>
      <c r="M80" s="21"/>
      <c r="N80" s="13"/>
    </row>
    <row r="81" spans="1:14">
      <c r="A81" s="14"/>
      <c r="B81" s="14"/>
      <c r="C81" s="25"/>
      <c r="D81" s="14"/>
      <c r="E81" s="14"/>
      <c r="F81" s="13"/>
      <c r="G81" s="13"/>
      <c r="H81" s="13"/>
      <c r="I81" s="22"/>
      <c r="J81" s="76"/>
      <c r="K81" s="14"/>
      <c r="L81" s="14"/>
      <c r="M81" s="21"/>
      <c r="N81" s="13"/>
    </row>
    <row r="82" spans="1:14">
      <c r="A82" s="14"/>
      <c r="B82" s="14"/>
      <c r="C82" s="25"/>
      <c r="D82" s="14"/>
      <c r="E82" s="14"/>
      <c r="F82" s="13"/>
      <c r="G82" s="13"/>
      <c r="H82" s="13"/>
      <c r="I82" s="22"/>
      <c r="J82" s="76"/>
      <c r="K82" s="14"/>
      <c r="L82" s="14"/>
      <c r="M82" s="21"/>
      <c r="N82" s="13"/>
    </row>
    <row r="83" spans="1:14">
      <c r="A83" s="14"/>
      <c r="B83" s="14"/>
      <c r="C83" s="25"/>
      <c r="D83" s="14"/>
      <c r="E83" s="14"/>
      <c r="F83" s="13"/>
      <c r="G83" s="13"/>
      <c r="H83" s="13"/>
      <c r="I83" s="22"/>
      <c r="J83" s="76"/>
      <c r="K83" s="14"/>
      <c r="L83" s="14"/>
      <c r="M83" s="21"/>
      <c r="N83" s="13"/>
    </row>
    <row r="84" spans="1:14">
      <c r="A84" s="14"/>
      <c r="B84" s="14"/>
      <c r="C84" s="25"/>
      <c r="D84" s="14"/>
      <c r="E84" s="14"/>
      <c r="F84" s="13"/>
      <c r="G84" s="13"/>
      <c r="H84" s="13"/>
      <c r="I84" s="22"/>
      <c r="J84" s="76"/>
      <c r="K84" s="14"/>
      <c r="L84" s="14"/>
      <c r="M84" s="21"/>
      <c r="N84" s="13"/>
    </row>
    <row r="85" spans="1:14">
      <c r="A85" s="14"/>
      <c r="B85" s="14"/>
      <c r="C85" s="25"/>
      <c r="D85" s="14"/>
      <c r="E85" s="14"/>
      <c r="F85" s="13"/>
      <c r="G85" s="13"/>
      <c r="H85" s="13"/>
      <c r="I85" s="22"/>
      <c r="J85" s="76"/>
      <c r="K85" s="14"/>
      <c r="L85" s="14"/>
      <c r="M85" s="21"/>
      <c r="N85" s="13"/>
    </row>
    <row r="86" spans="1:14">
      <c r="A86" s="14"/>
      <c r="B86" s="14"/>
      <c r="C86" s="25"/>
      <c r="D86" s="14"/>
      <c r="E86" s="14"/>
      <c r="F86" s="13"/>
      <c r="G86" s="13"/>
      <c r="H86" s="13"/>
      <c r="I86" s="22"/>
      <c r="J86" s="76"/>
      <c r="K86" s="14"/>
      <c r="L86" s="14"/>
      <c r="M86" s="21"/>
      <c r="N86" s="13"/>
    </row>
    <row r="87" spans="1:14">
      <c r="A87" s="14"/>
      <c r="B87" s="14"/>
      <c r="C87" s="25"/>
      <c r="D87" s="14"/>
      <c r="E87" s="14"/>
      <c r="F87" s="13"/>
      <c r="G87" s="13"/>
      <c r="H87" s="13"/>
      <c r="I87" s="22"/>
      <c r="J87" s="76"/>
      <c r="K87" s="14"/>
      <c r="L87" s="14"/>
      <c r="M87" s="21"/>
      <c r="N87" s="13"/>
    </row>
    <row r="88" spans="1:14">
      <c r="A88" s="14"/>
      <c r="B88" s="14"/>
      <c r="C88" s="25"/>
      <c r="D88" s="14"/>
      <c r="E88" s="14"/>
      <c r="F88" s="13"/>
      <c r="G88" s="13"/>
      <c r="H88" s="13"/>
      <c r="I88" s="22"/>
      <c r="J88" s="76"/>
      <c r="K88" s="14"/>
      <c r="L88" s="14"/>
      <c r="M88" s="21"/>
      <c r="N88" s="13"/>
    </row>
    <row r="89" spans="1:14">
      <c r="A89" s="14"/>
      <c r="B89" s="14"/>
      <c r="C89" s="25"/>
      <c r="D89" s="14"/>
      <c r="E89" s="14"/>
      <c r="F89" s="13"/>
      <c r="G89" s="13"/>
      <c r="H89" s="13"/>
      <c r="I89" s="22"/>
      <c r="J89" s="76"/>
      <c r="K89" s="14"/>
      <c r="L89" s="14"/>
      <c r="M89" s="21"/>
      <c r="N89" s="13"/>
    </row>
    <row r="90" spans="1:14">
      <c r="A90" s="14"/>
      <c r="B90" s="14"/>
      <c r="C90" s="25"/>
      <c r="D90" s="14"/>
      <c r="E90" s="14"/>
      <c r="F90" s="13"/>
      <c r="G90" s="13"/>
      <c r="H90" s="13"/>
      <c r="I90" s="22"/>
      <c r="J90" s="76"/>
      <c r="K90" s="14"/>
      <c r="L90" s="14"/>
      <c r="M90" s="21"/>
      <c r="N90" s="13"/>
    </row>
    <row r="91" spans="1:14">
      <c r="A91" s="14"/>
      <c r="B91" s="14"/>
      <c r="C91" s="25"/>
      <c r="D91" s="14"/>
      <c r="E91" s="14"/>
      <c r="F91" s="13"/>
      <c r="G91" s="13"/>
      <c r="H91" s="13"/>
      <c r="I91" s="22"/>
      <c r="J91" s="76"/>
      <c r="K91" s="14"/>
      <c r="L91" s="14"/>
      <c r="M91" s="21"/>
      <c r="N91" s="13"/>
    </row>
    <row r="92" spans="1:14">
      <c r="A92" s="14"/>
      <c r="B92" s="14"/>
      <c r="C92" s="25"/>
      <c r="D92" s="14"/>
      <c r="E92" s="14"/>
      <c r="F92" s="13"/>
      <c r="G92" s="13"/>
      <c r="H92" s="13"/>
      <c r="I92" s="22"/>
      <c r="J92" s="76"/>
      <c r="K92" s="14"/>
      <c r="L92" s="14"/>
      <c r="M92" s="21"/>
      <c r="N92" s="13"/>
    </row>
    <row r="93" spans="1:14">
      <c r="A93" s="14"/>
      <c r="B93" s="14"/>
      <c r="C93" s="25"/>
      <c r="D93" s="14"/>
      <c r="E93" s="14"/>
      <c r="F93" s="13"/>
      <c r="G93" s="13"/>
      <c r="H93" s="13"/>
      <c r="I93" s="22"/>
      <c r="J93" s="76"/>
      <c r="K93" s="14"/>
      <c r="L93" s="14"/>
      <c r="M93" s="21"/>
      <c r="N93" s="13"/>
    </row>
    <row r="94" spans="1:14">
      <c r="A94" s="14"/>
      <c r="B94" s="14"/>
      <c r="C94" s="25"/>
      <c r="D94" s="14"/>
      <c r="E94" s="14"/>
      <c r="F94" s="13"/>
      <c r="G94" s="13"/>
      <c r="H94" s="13"/>
      <c r="I94" s="22"/>
      <c r="J94" s="76"/>
      <c r="K94" s="14"/>
      <c r="L94" s="14"/>
      <c r="M94" s="21"/>
      <c r="N94" s="13"/>
    </row>
    <row r="95" spans="1:14">
      <c r="A95" s="14"/>
      <c r="B95" s="14"/>
      <c r="C95" s="25"/>
      <c r="D95" s="14"/>
      <c r="E95" s="14"/>
      <c r="F95" s="13"/>
      <c r="G95" s="13"/>
      <c r="H95" s="13"/>
      <c r="I95" s="22"/>
      <c r="J95" s="76"/>
      <c r="K95" s="14"/>
      <c r="L95" s="14"/>
      <c r="M95" s="21"/>
      <c r="N95" s="13"/>
    </row>
    <row r="96" spans="1:14">
      <c r="A96" s="14"/>
      <c r="B96" s="14"/>
      <c r="C96" s="25"/>
      <c r="D96" s="14"/>
      <c r="E96" s="14"/>
      <c r="F96" s="13"/>
      <c r="G96" s="13"/>
      <c r="H96" s="13"/>
      <c r="I96" s="22"/>
      <c r="J96" s="76"/>
      <c r="K96" s="14"/>
      <c r="L96" s="14"/>
      <c r="M96" s="21"/>
      <c r="N96" s="13"/>
    </row>
    <row r="97" spans="1:14">
      <c r="A97" s="14"/>
      <c r="B97" s="14"/>
      <c r="C97" s="25"/>
      <c r="D97" s="14"/>
      <c r="E97" s="14"/>
      <c r="F97" s="13"/>
      <c r="G97" s="13"/>
      <c r="H97" s="13"/>
      <c r="I97" s="22"/>
      <c r="J97" s="76"/>
      <c r="K97" s="14"/>
      <c r="L97" s="14"/>
      <c r="M97" s="21"/>
      <c r="N97" s="13"/>
    </row>
  </sheetData>
  <autoFilter ref="A1:M24" xr:uid="{7CAC8F11-29D0-4067-96FD-2AC65E783901}"/>
  <mergeCells count="27">
    <mergeCell ref="C15:C17"/>
    <mergeCell ref="B15:B17"/>
    <mergeCell ref="A10:A12"/>
    <mergeCell ref="B10:B12"/>
    <mergeCell ref="C10:C12"/>
    <mergeCell ref="A15:A17"/>
    <mergeCell ref="B3:B5"/>
    <mergeCell ref="C3:C5"/>
    <mergeCell ref="A3:A5"/>
    <mergeCell ref="C6:C9"/>
    <mergeCell ref="B6:B9"/>
    <mergeCell ref="A6:A9"/>
    <mergeCell ref="A25:A27"/>
    <mergeCell ref="B25:B27"/>
    <mergeCell ref="C25:C27"/>
    <mergeCell ref="B18:B20"/>
    <mergeCell ref="C18:C20"/>
    <mergeCell ref="C21:C23"/>
    <mergeCell ref="B21:B23"/>
    <mergeCell ref="A18:A20"/>
    <mergeCell ref="A21:A23"/>
    <mergeCell ref="B33:B34"/>
    <mergeCell ref="A33:A34"/>
    <mergeCell ref="C33:C34"/>
    <mergeCell ref="B28:B31"/>
    <mergeCell ref="C28:C31"/>
    <mergeCell ref="A28:A31"/>
  </mergeCells>
  <phoneticPr fontId="3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55A6-E559-4BDB-90CF-E093D0BCB8A3}">
  <dimension ref="A1:N9"/>
  <sheetViews>
    <sheetView workbookViewId="0">
      <selection activeCell="L8" sqref="L8:L9"/>
    </sheetView>
  </sheetViews>
  <sheetFormatPr defaultRowHeight="14.5"/>
  <cols>
    <col min="1" max="1" width="11.6328125" bestFit="1" customWidth="1"/>
    <col min="4" max="4" width="9.81640625" bestFit="1" customWidth="1"/>
    <col min="5" max="5" width="11.7265625" bestFit="1" customWidth="1"/>
    <col min="7" max="7" width="39" bestFit="1" customWidth="1"/>
    <col min="12" max="12" width="12.1796875" bestFit="1" customWidth="1"/>
    <col min="13" max="13" width="12.7265625" bestFit="1" customWidth="1"/>
  </cols>
  <sheetData>
    <row r="1" spans="1:14" s="34" customFormat="1" ht="52">
      <c r="A1" s="31" t="s">
        <v>33</v>
      </c>
      <c r="B1" s="31" t="s">
        <v>34</v>
      </c>
      <c r="C1" s="31" t="s">
        <v>35</v>
      </c>
      <c r="D1" s="32" t="s">
        <v>36</v>
      </c>
      <c r="E1" s="31" t="s">
        <v>37</v>
      </c>
      <c r="F1" s="33" t="s">
        <v>4</v>
      </c>
      <c r="G1" s="31" t="s">
        <v>5</v>
      </c>
      <c r="H1" s="31" t="s">
        <v>6</v>
      </c>
      <c r="I1" s="31" t="s">
        <v>7</v>
      </c>
      <c r="J1" s="31" t="s">
        <v>12</v>
      </c>
      <c r="K1" s="31" t="s">
        <v>8</v>
      </c>
      <c r="L1" s="31" t="s">
        <v>38</v>
      </c>
      <c r="M1" s="31" t="s">
        <v>39</v>
      </c>
      <c r="N1" s="34" t="s">
        <v>10</v>
      </c>
    </row>
    <row r="2" spans="1:14" s="29" customFormat="1">
      <c r="A2" s="7">
        <v>151517683</v>
      </c>
      <c r="B2" s="7" t="s">
        <v>20</v>
      </c>
      <c r="C2" s="7">
        <v>70</v>
      </c>
      <c r="D2" s="30">
        <v>2643.2</v>
      </c>
      <c r="E2" s="7" t="s">
        <v>40</v>
      </c>
      <c r="F2" s="7">
        <v>649868</v>
      </c>
      <c r="G2" s="15" t="s">
        <v>30</v>
      </c>
      <c r="H2" s="7">
        <v>20</v>
      </c>
      <c r="I2" s="7" t="s">
        <v>0</v>
      </c>
      <c r="J2" s="7">
        <v>0</v>
      </c>
      <c r="K2" s="7">
        <v>20</v>
      </c>
      <c r="L2" s="7" t="s">
        <v>41</v>
      </c>
      <c r="M2" s="7"/>
      <c r="N2" s="7"/>
    </row>
    <row r="3" spans="1:14" s="29" customFormat="1">
      <c r="A3" s="7">
        <v>151525288</v>
      </c>
      <c r="B3" s="7" t="s">
        <v>20</v>
      </c>
      <c r="C3" s="7">
        <v>50</v>
      </c>
      <c r="D3" s="30">
        <v>1321.6</v>
      </c>
      <c r="E3" s="7" t="s">
        <v>42</v>
      </c>
      <c r="F3" s="7">
        <v>649868</v>
      </c>
      <c r="G3" s="15" t="s">
        <v>43</v>
      </c>
      <c r="H3" s="7">
        <v>10</v>
      </c>
      <c r="I3" s="7" t="s">
        <v>0</v>
      </c>
      <c r="J3" s="7">
        <v>0</v>
      </c>
      <c r="K3" s="7">
        <v>10</v>
      </c>
      <c r="L3" s="7" t="s">
        <v>44</v>
      </c>
      <c r="M3" s="7"/>
      <c r="N3" s="7"/>
    </row>
    <row r="4" spans="1:14" s="29" customFormat="1">
      <c r="A4" s="7">
        <v>151562990</v>
      </c>
      <c r="B4" s="7" t="s">
        <v>20</v>
      </c>
      <c r="C4" s="7">
        <v>10</v>
      </c>
      <c r="D4" s="30">
        <v>53100</v>
      </c>
      <c r="E4" s="7" t="s">
        <v>45</v>
      </c>
      <c r="F4" s="7">
        <v>719031</v>
      </c>
      <c r="G4" s="15" t="s">
        <v>31</v>
      </c>
      <c r="H4" s="7">
        <v>1</v>
      </c>
      <c r="I4" s="7" t="s">
        <v>0</v>
      </c>
      <c r="J4" s="7">
        <v>0</v>
      </c>
      <c r="K4" s="7">
        <v>1</v>
      </c>
      <c r="L4" s="7" t="s">
        <v>46</v>
      </c>
      <c r="M4" s="7"/>
      <c r="N4" s="7"/>
    </row>
    <row r="5" spans="1:14" s="29" customFormat="1">
      <c r="A5" s="7">
        <v>151566200</v>
      </c>
      <c r="B5" s="7" t="s">
        <v>20</v>
      </c>
      <c r="C5" s="7">
        <v>10</v>
      </c>
      <c r="D5" s="30">
        <v>176982.3</v>
      </c>
      <c r="E5" s="7" t="s">
        <v>47</v>
      </c>
      <c r="F5" s="7">
        <v>719381</v>
      </c>
      <c r="G5" s="15" t="s">
        <v>2</v>
      </c>
      <c r="H5" s="7">
        <v>15</v>
      </c>
      <c r="I5" s="7" t="s">
        <v>0</v>
      </c>
      <c r="J5" s="7">
        <v>0</v>
      </c>
      <c r="K5" s="7">
        <v>15</v>
      </c>
      <c r="L5" s="7" t="s">
        <v>48</v>
      </c>
      <c r="M5" s="7"/>
      <c r="N5" s="7" t="s">
        <v>49</v>
      </c>
    </row>
    <row r="6" spans="1:14" s="29" customFormat="1">
      <c r="A6" s="7">
        <v>151566200</v>
      </c>
      <c r="B6" s="7" t="s">
        <v>20</v>
      </c>
      <c r="C6" s="7">
        <v>30</v>
      </c>
      <c r="D6" s="30">
        <v>11449.54</v>
      </c>
      <c r="E6" s="7" t="s">
        <v>47</v>
      </c>
      <c r="F6" s="7">
        <v>681149</v>
      </c>
      <c r="G6" s="15" t="s">
        <v>24</v>
      </c>
      <c r="H6" s="7">
        <v>1</v>
      </c>
      <c r="I6" s="7" t="s">
        <v>0</v>
      </c>
      <c r="J6" s="7">
        <v>0</v>
      </c>
      <c r="K6" s="7">
        <v>1</v>
      </c>
      <c r="L6" s="7" t="s">
        <v>50</v>
      </c>
      <c r="M6" s="7"/>
      <c r="N6" s="7" t="s">
        <v>51</v>
      </c>
    </row>
    <row r="7" spans="1:14" s="29" customFormat="1">
      <c r="A7" s="7">
        <v>151575274</v>
      </c>
      <c r="B7" s="7" t="s">
        <v>20</v>
      </c>
      <c r="C7" s="7">
        <v>10</v>
      </c>
      <c r="D7" s="30">
        <v>176982.3</v>
      </c>
      <c r="E7" s="7" t="s">
        <v>52</v>
      </c>
      <c r="F7" s="7">
        <v>719381</v>
      </c>
      <c r="G7" s="15" t="s">
        <v>15</v>
      </c>
      <c r="H7" s="7">
        <v>15</v>
      </c>
      <c r="I7" s="7" t="s">
        <v>0</v>
      </c>
      <c r="J7" s="35">
        <v>0</v>
      </c>
      <c r="K7" s="7">
        <v>15</v>
      </c>
      <c r="L7" s="7" t="s">
        <v>53</v>
      </c>
      <c r="M7" s="7"/>
      <c r="N7" s="7"/>
    </row>
    <row r="8" spans="1:14">
      <c r="A8" s="80">
        <v>151641682</v>
      </c>
      <c r="B8" s="75" t="s">
        <v>20</v>
      </c>
      <c r="C8" s="75">
        <v>10</v>
      </c>
      <c r="D8" s="14">
        <f>99990
+ 8999.1
+ 8999.1</f>
        <v>117988.20000000001</v>
      </c>
      <c r="E8" s="14" t="s">
        <v>106</v>
      </c>
      <c r="F8" s="14">
        <v>719381</v>
      </c>
      <c r="G8" s="14" t="s">
        <v>2</v>
      </c>
      <c r="H8" s="75">
        <v>10</v>
      </c>
      <c r="I8" s="75" t="s">
        <v>0</v>
      </c>
      <c r="J8" s="75"/>
      <c r="K8" s="75"/>
      <c r="L8" s="1" t="s">
        <v>107</v>
      </c>
      <c r="M8" s="75"/>
    </row>
    <row r="9" spans="1:14">
      <c r="A9" s="80">
        <v>151641682</v>
      </c>
      <c r="B9" s="75" t="s">
        <v>20</v>
      </c>
      <c r="C9" s="75">
        <v>40</v>
      </c>
      <c r="D9" s="75">
        <f xml:space="preserve"> 3360
+ 302.4
+ 302.4</f>
        <v>3964.8</v>
      </c>
      <c r="E9" s="14" t="s">
        <v>106</v>
      </c>
      <c r="F9" s="14">
        <v>649868</v>
      </c>
      <c r="G9" s="14" t="s">
        <v>108</v>
      </c>
      <c r="H9" s="14">
        <v>30</v>
      </c>
      <c r="I9" s="75" t="s">
        <v>0</v>
      </c>
      <c r="J9" s="75"/>
      <c r="K9" s="75"/>
      <c r="L9" s="1" t="s">
        <v>109</v>
      </c>
      <c r="M9" s="75"/>
    </row>
  </sheetData>
  <autoFilter ref="A1:N1" xr:uid="{B37855A6-E559-4BDB-90CF-E093D0BCB8A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F706-18F7-4723-905C-E67161AF85E1}">
  <dimension ref="A1:I2"/>
  <sheetViews>
    <sheetView workbookViewId="0">
      <selection activeCell="I2" sqref="I2"/>
    </sheetView>
  </sheetViews>
  <sheetFormatPr defaultRowHeight="14.5"/>
  <cols>
    <col min="1" max="1" width="9.453125" bestFit="1" customWidth="1"/>
    <col min="2" max="2" width="11.54296875" bestFit="1" customWidth="1"/>
    <col min="3" max="3" width="11.36328125" style="1" bestFit="1" customWidth="1"/>
    <col min="4" max="4" width="10.36328125" style="1" bestFit="1" customWidth="1"/>
    <col min="6" max="6" width="36.453125" bestFit="1" customWidth="1"/>
    <col min="7" max="7" width="12.1796875" customWidth="1"/>
    <col min="8" max="8" width="24.6328125" style="2" customWidth="1"/>
    <col min="9" max="9" width="11" style="9" customWidth="1"/>
  </cols>
  <sheetData>
    <row r="1" spans="1:9" s="3" customFormat="1" ht="26">
      <c r="A1" s="4" t="s">
        <v>11</v>
      </c>
      <c r="B1" s="6" t="s">
        <v>16</v>
      </c>
      <c r="C1" s="16" t="s">
        <v>18</v>
      </c>
      <c r="D1" s="16" t="s">
        <v>26</v>
      </c>
      <c r="E1" s="27" t="s">
        <v>4</v>
      </c>
      <c r="F1" s="4" t="s">
        <v>5</v>
      </c>
      <c r="G1" s="8" t="s">
        <v>27</v>
      </c>
      <c r="H1" s="6" t="s">
        <v>10</v>
      </c>
      <c r="I1" s="6" t="s">
        <v>32</v>
      </c>
    </row>
    <row r="2" spans="1:9">
      <c r="A2" s="20" t="s">
        <v>23</v>
      </c>
      <c r="B2" s="25" t="s">
        <v>22</v>
      </c>
      <c r="C2" s="20" t="s">
        <v>28</v>
      </c>
      <c r="D2" s="20" t="s">
        <v>29</v>
      </c>
      <c r="E2" s="7">
        <v>616026</v>
      </c>
      <c r="F2" s="7" t="s">
        <v>14</v>
      </c>
      <c r="G2" s="22">
        <v>1</v>
      </c>
      <c r="H2" s="21" t="s">
        <v>25</v>
      </c>
      <c r="I2" s="17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9B9D-FA6F-47DB-B791-71630B86330A}">
  <dimension ref="A1:I2"/>
  <sheetViews>
    <sheetView workbookViewId="0">
      <selection activeCell="A2" sqref="A2:XFD11"/>
    </sheetView>
  </sheetViews>
  <sheetFormatPr defaultRowHeight="14.5"/>
  <cols>
    <col min="1" max="1" width="10.453125" bestFit="1" customWidth="1"/>
    <col min="2" max="2" width="11.54296875" bestFit="1" customWidth="1"/>
    <col min="3" max="3" width="8.54296875" customWidth="1"/>
    <col min="4" max="4" width="39" bestFit="1" customWidth="1"/>
    <col min="5" max="5" width="13.81640625" bestFit="1" customWidth="1"/>
    <col min="6" max="6" width="13.81640625" customWidth="1"/>
    <col min="7" max="7" width="22.08984375" style="1" bestFit="1" customWidth="1"/>
    <col min="8" max="8" width="62" bestFit="1" customWidth="1"/>
    <col min="9" max="9" width="15.81640625" style="19" bestFit="1" customWidth="1"/>
  </cols>
  <sheetData>
    <row r="1" spans="1:9">
      <c r="A1" s="10" t="s">
        <v>11</v>
      </c>
      <c r="B1" s="11" t="s">
        <v>16</v>
      </c>
      <c r="C1" s="12" t="s">
        <v>4</v>
      </c>
      <c r="D1" s="10" t="s">
        <v>5</v>
      </c>
      <c r="E1" s="4" t="s">
        <v>6</v>
      </c>
      <c r="F1" s="4" t="s">
        <v>12</v>
      </c>
      <c r="G1" s="10" t="s">
        <v>8</v>
      </c>
      <c r="H1" s="10" t="s">
        <v>19</v>
      </c>
      <c r="I1" s="18" t="s">
        <v>21</v>
      </c>
    </row>
    <row r="2" spans="1:9">
      <c r="A2" s="13"/>
      <c r="B2" s="13"/>
      <c r="C2" s="13"/>
      <c r="D2" s="13"/>
      <c r="E2" s="13"/>
      <c r="F2" s="13"/>
      <c r="G2" s="14"/>
      <c r="H2" s="13"/>
      <c r="I2" s="24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F16F-2FB0-475C-AED4-1995BB5A6A2D}">
  <dimension ref="A1"/>
  <sheetViews>
    <sheetView workbookViewId="0">
      <selection sqref="A1:XFD1048576"/>
    </sheetView>
  </sheetViews>
  <sheetFormatPr defaultRowHeight="14.5"/>
  <sheetData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 Summary</vt:lpstr>
      <vt:lpstr>Need to Order</vt:lpstr>
      <vt:lpstr>Replacement</vt:lpstr>
      <vt:lpstr>Namrata Pending</vt:lpstr>
      <vt:lpstr>PUTZ CONFIRMATION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cp:lastPrinted>2024-11-22T07:07:04Z</cp:lastPrinted>
  <dcterms:created xsi:type="dcterms:W3CDTF">2024-11-18T04:45:05Z</dcterms:created>
  <dcterms:modified xsi:type="dcterms:W3CDTF">2025-07-28T10:04:31Z</dcterms:modified>
</cp:coreProperties>
</file>