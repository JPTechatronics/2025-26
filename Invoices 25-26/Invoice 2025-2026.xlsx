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/>
  <mc:AlternateContent xmlns:mc="http://schemas.openxmlformats.org/markup-compatibility/2006">
    <mc:Choice Requires="x15">
      <x15ac:absPath xmlns:x15ac="http://schemas.microsoft.com/office/spreadsheetml/2010/11/ac" url="C:\JP TECHATRONICS 2022-2023\2025-2026\Invoices 25-26\"/>
    </mc:Choice>
  </mc:AlternateContent>
  <xr:revisionPtr revIDLastSave="0" documentId="13_ncr:1_{F433B20E-9AFA-4B67-B82B-A0BE5759E41C}" xr6:coauthVersionLast="47" xr6:coauthVersionMax="47" xr10:uidLastSave="{00000000-0000-0000-0000-000000000000}"/>
  <bookViews>
    <workbookView xWindow="-110" yWindow="-110" windowWidth="19420" windowHeight="10420" firstSheet="16" activeTab="20" xr2:uid="{00000000-000D-0000-FFFF-FFFF00000000}"/>
  </bookViews>
  <sheets>
    <sheet name="M Putz 101" sheetId="1" r:id="rId1"/>
    <sheet name="A Putz 102" sheetId="2" r:id="rId2"/>
    <sheet name="M Putz-103" sheetId="6" r:id="rId3"/>
    <sheet name="A Putz 104" sheetId="5" r:id="rId4"/>
    <sheet name="M Putz 105" sheetId="7" r:id="rId5"/>
    <sheet name="M Putz 106" sheetId="8" r:id="rId6"/>
    <sheet name="A Putz 107" sheetId="9" r:id="rId7"/>
    <sheet name="M Putz 108" sheetId="10" r:id="rId8"/>
    <sheet name="M Putz 109" sheetId="13" r:id="rId9"/>
    <sheet name="M Putz 110" sheetId="14" r:id="rId10"/>
    <sheet name="M Putz 111" sheetId="15" r:id="rId11"/>
    <sheet name="M Putz 112" sheetId="16" r:id="rId12"/>
    <sheet name="A Putz 113" sheetId="17" r:id="rId13"/>
    <sheet name="M Putz 114" sheetId="18" r:id="rId14"/>
    <sheet name="A Putz 115" sheetId="19" r:id="rId15"/>
    <sheet name="M Putz 201" sheetId="21" r:id="rId16"/>
    <sheet name="A Putz 202" sheetId="20" r:id="rId17"/>
    <sheet name="A Putz 203" sheetId="23" r:id="rId18"/>
    <sheet name="M Putz 204" sheetId="25" r:id="rId19"/>
    <sheet name="M Putz 205" sheetId="24" r:id="rId20"/>
    <sheet name="A Putz 206" sheetId="26" r:id="rId21"/>
    <sheet name="M Putz 207" sheetId="27" r:id="rId22"/>
    <sheet name="B&amp;F Realty 1" sheetId="12" r:id="rId23"/>
    <sheet name="M Putz 1" sheetId="11" r:id="rId2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9" i="27" l="1"/>
  <c r="G6" i="27"/>
  <c r="G4" i="27"/>
  <c r="G5" i="27"/>
  <c r="G9" i="26"/>
  <c r="G6" i="26"/>
  <c r="G4" i="26"/>
  <c r="G5" i="26"/>
  <c r="E3" i="27"/>
  <c r="G3" i="26"/>
  <c r="G3" i="27" l="1"/>
  <c r="G10" i="25"/>
  <c r="G7" i="25"/>
  <c r="G5" i="23"/>
  <c r="G8" i="24"/>
  <c r="G5" i="24"/>
  <c r="G6" i="25"/>
  <c r="G5" i="25"/>
  <c r="G4" i="25"/>
  <c r="G3" i="25"/>
  <c r="G7" i="27" l="1"/>
  <c r="G7" i="26"/>
  <c r="G8" i="26" s="1"/>
  <c r="G8" i="25"/>
  <c r="G9" i="25" s="1"/>
  <c r="G4" i="24"/>
  <c r="G3" i="24"/>
  <c r="G4" i="23"/>
  <c r="G3" i="23"/>
  <c r="G6" i="23" s="1"/>
  <c r="G7" i="23" s="1"/>
  <c r="G8" i="27" l="1"/>
  <c r="G6" i="24"/>
  <c r="G7" i="24" s="1"/>
  <c r="G8" i="23"/>
  <c r="G4" i="21" l="1"/>
  <c r="G5" i="21"/>
  <c r="G6" i="21"/>
  <c r="G7" i="21"/>
  <c r="G8" i="21"/>
  <c r="G8" i="20"/>
  <c r="G5" i="20"/>
  <c r="G9" i="21" l="1"/>
  <c r="G7" i="11"/>
  <c r="G6" i="11"/>
  <c r="G5" i="11"/>
  <c r="G4" i="11"/>
  <c r="G3" i="11"/>
  <c r="E23" i="12"/>
  <c r="E22" i="12"/>
  <c r="E21" i="12"/>
  <c r="E20" i="12"/>
  <c r="E19" i="12"/>
  <c r="E18" i="12"/>
  <c r="E17" i="12"/>
  <c r="E16" i="12"/>
  <c r="E15" i="12"/>
  <c r="E14" i="12"/>
  <c r="E13" i="12"/>
  <c r="E12" i="12"/>
  <c r="E11" i="12"/>
  <c r="E10" i="12"/>
  <c r="E9" i="12"/>
  <c r="E8" i="12"/>
  <c r="E7" i="12"/>
  <c r="E6" i="12"/>
  <c r="E5" i="12"/>
  <c r="E4" i="12"/>
  <c r="E3" i="12"/>
  <c r="G7" i="20"/>
  <c r="G6" i="20"/>
  <c r="G4" i="20"/>
  <c r="G3" i="20"/>
  <c r="G3" i="21"/>
  <c r="G8" i="19"/>
  <c r="G7" i="19"/>
  <c r="G6" i="19"/>
  <c r="G5" i="19"/>
  <c r="G4" i="19"/>
  <c r="G3" i="19"/>
  <c r="G9" i="18"/>
  <c r="G8" i="18"/>
  <c r="G7" i="18"/>
  <c r="G6" i="18"/>
  <c r="G5" i="18"/>
  <c r="G4" i="18"/>
  <c r="G3" i="18"/>
  <c r="E3" i="18"/>
  <c r="G7" i="17"/>
  <c r="G6" i="17"/>
  <c r="G5" i="17"/>
  <c r="G4" i="17"/>
  <c r="G3" i="17"/>
  <c r="G11" i="16"/>
  <c r="G10" i="16"/>
  <c r="G9" i="16"/>
  <c r="G8" i="16"/>
  <c r="G7" i="16"/>
  <c r="G6" i="16"/>
  <c r="G5" i="16"/>
  <c r="G4" i="16"/>
  <c r="E4" i="16"/>
  <c r="G3" i="16"/>
  <c r="E3" i="16"/>
  <c r="G7" i="15"/>
  <c r="G6" i="15"/>
  <c r="G5" i="15"/>
  <c r="G4" i="15"/>
  <c r="G3" i="15"/>
  <c r="G10" i="14"/>
  <c r="G9" i="14"/>
  <c r="G8" i="14"/>
  <c r="G7" i="14"/>
  <c r="G6" i="14"/>
  <c r="G5" i="14"/>
  <c r="G4" i="14"/>
  <c r="G3" i="14"/>
  <c r="G14" i="13"/>
  <c r="G13" i="13"/>
  <c r="G12" i="13"/>
  <c r="G11" i="13"/>
  <c r="G10" i="13"/>
  <c r="G9" i="13"/>
  <c r="G8" i="13"/>
  <c r="G7" i="13"/>
  <c r="G6" i="13"/>
  <c r="G5" i="13"/>
  <c r="G4" i="13"/>
  <c r="G3" i="13"/>
  <c r="G7" i="10"/>
  <c r="G6" i="10"/>
  <c r="G5" i="10"/>
  <c r="G4" i="10"/>
  <c r="G3" i="10"/>
  <c r="G7" i="9"/>
  <c r="G6" i="9"/>
  <c r="G5" i="9"/>
  <c r="G4" i="9"/>
  <c r="G3" i="9"/>
  <c r="G8" i="8"/>
  <c r="G7" i="8"/>
  <c r="G6" i="8"/>
  <c r="G5" i="8"/>
  <c r="G4" i="8"/>
  <c r="G3" i="8"/>
  <c r="H7" i="7"/>
  <c r="H6" i="7"/>
  <c r="H5" i="7"/>
  <c r="H4" i="7"/>
  <c r="H3" i="7"/>
  <c r="G7" i="5"/>
  <c r="G6" i="5"/>
  <c r="G5" i="5"/>
  <c r="G4" i="5"/>
  <c r="G3" i="5"/>
  <c r="H9" i="6"/>
  <c r="H8" i="6"/>
  <c r="H7" i="6"/>
  <c r="H6" i="6"/>
  <c r="H5" i="6"/>
  <c r="H4" i="6"/>
  <c r="H3" i="6"/>
  <c r="G8" i="2"/>
  <c r="G7" i="2"/>
  <c r="G6" i="2"/>
  <c r="G5" i="2"/>
  <c r="G4" i="2"/>
  <c r="G3" i="2"/>
  <c r="G8" i="1"/>
  <c r="G7" i="1"/>
  <c r="G6" i="1"/>
  <c r="G5" i="1"/>
  <c r="G4" i="1"/>
  <c r="G3" i="1"/>
  <c r="G10" i="21" l="1"/>
  <c r="G11" i="21" s="1"/>
  <c r="G12" i="21" l="1"/>
</calcChain>
</file>

<file path=xl/sharedStrings.xml><?xml version="1.0" encoding="utf-8"?>
<sst xmlns="http://schemas.openxmlformats.org/spreadsheetml/2006/main" count="474" uniqueCount="92">
  <si>
    <t>Invoice No.</t>
  </si>
  <si>
    <t>Date</t>
  </si>
  <si>
    <t>Sr. No</t>
  </si>
  <si>
    <t>PO NO.</t>
  </si>
  <si>
    <t>Part No.</t>
  </si>
  <si>
    <t>Item Description</t>
  </si>
  <si>
    <t>Qty</t>
  </si>
  <si>
    <t>Price</t>
  </si>
  <si>
    <t>Total</t>
  </si>
  <si>
    <t xml:space="preserve">MFG-151598476 (20.03.2025) </t>
  </si>
  <si>
    <t>Screw Conveyor Bellow_Dia 174x4x500mm</t>
  </si>
  <si>
    <t xml:space="preserve">MFG- 16076650 (17.03.2025) </t>
  </si>
  <si>
    <t>30 L Admixture jar with d ual inlet</t>
  </si>
  <si>
    <t>CGST 9%</t>
  </si>
  <si>
    <t>SGST 9%</t>
  </si>
  <si>
    <t>Grand Total</t>
  </si>
  <si>
    <t xml:space="preserve">APS-151594899 (12.03.2025) </t>
  </si>
  <si>
    <t>Screw Conveyor Bellow_Dia 224x4x500mm</t>
  </si>
  <si>
    <t xml:space="preserve">APS-151592695 (07.03.2025) </t>
  </si>
  <si>
    <t>Discharge chute bellow Ø5 00x4x500</t>
  </si>
  <si>
    <t>Units</t>
  </si>
  <si>
    <t xml:space="preserve">MFG-151582157 (12.02.2025) </t>
  </si>
  <si>
    <t>PCS</t>
  </si>
  <si>
    <t xml:space="preserve">MFG- 151595443 (13.03.2025) </t>
  </si>
  <si>
    <t>Bellow Butterfly-Valve 31 0x4x290mm</t>
  </si>
  <si>
    <t xml:space="preserve">APS-151602706 (29.03.2025) </t>
  </si>
  <si>
    <t xml:space="preserve">MFG- 151588072 (26.02.2025) </t>
  </si>
  <si>
    <t>DUSTFILTR BP60 DIA250mm F LEXIBLE</t>
  </si>
  <si>
    <t>M</t>
  </si>
  <si>
    <t>17/04/2025</t>
  </si>
  <si>
    <t xml:space="preserve">MFG-151588072 (26.02.2025) </t>
  </si>
  <si>
    <t>Discharge Chute Bellow_Di a 500x4x240mm</t>
  </si>
  <si>
    <t xml:space="preserve">APS-151590845 (04.03.2025) </t>
  </si>
  <si>
    <t>21/04/2025</t>
  </si>
  <si>
    <t xml:space="preserve">MFG-151593483 (10-03-2025) </t>
  </si>
  <si>
    <t>PC UPS</t>
  </si>
  <si>
    <t xml:space="preserve">MFG-151588072 (26.02.2025)           MFG-151611321 (18.04.2025) </t>
  </si>
  <si>
    <t xml:space="preserve">MFG-151588072 (26.02.2025)       </t>
  </si>
  <si>
    <t xml:space="preserve">MFG-151611321 (18.04.2025) </t>
  </si>
  <si>
    <t>Cement Hop. Bellow_Silic_ dia 205x4x400mm</t>
  </si>
  <si>
    <t>Bearing f. Take up Housing UCT 215</t>
  </si>
  <si>
    <t>ROD END 20MM</t>
  </si>
  <si>
    <t>BEARING_TAKE UP HOUSING_UCT210</t>
  </si>
  <si>
    <t xml:space="preserve">MFG-151612151 (22.04.2025) </t>
  </si>
  <si>
    <t xml:space="preserve">MFG-151566200 (10.01.2025) </t>
  </si>
  <si>
    <t>Computer Screen 19", HDMI Cable, 4GB RAM</t>
  </si>
  <si>
    <t>19/5/2025</t>
  </si>
  <si>
    <t>BELLOW F. water hopper MT 1.0 IB</t>
  </si>
  <si>
    <t>Cement_Dust_BP60_Dia 150 flexible</t>
  </si>
  <si>
    <t xml:space="preserve">MFG-151611321 (18.04.2025)  </t>
  </si>
  <si>
    <t>MFG-151566200 (10.01.2025)               MFG-151611321 (18.04.2025)</t>
  </si>
  <si>
    <t>MFG-151566200 (10.01.2025)</t>
  </si>
  <si>
    <t xml:space="preserve">MFG-151627175 (27.05.2025) </t>
  </si>
  <si>
    <t>MFG-151611321 (18.04.2025)</t>
  </si>
  <si>
    <t xml:space="preserve">APS-151621862 (15.05.2025) </t>
  </si>
  <si>
    <t xml:space="preserve">APS-151621853 (15.05.2025) </t>
  </si>
  <si>
    <t xml:space="preserve">APS-151634177 (12.06.2025) </t>
  </si>
  <si>
    <t>Discharge chute bellow Ø500x4x500</t>
  </si>
  <si>
    <t>1 Replacement</t>
  </si>
  <si>
    <t>Screw Conveyor Bellow_Dia 224x4x50</t>
  </si>
  <si>
    <t xml:space="preserve">MFG-151627175 (27.05.2025)  </t>
  </si>
  <si>
    <t>Bellow Butterfly-Valve 310x4x290mm</t>
  </si>
  <si>
    <t>2 replacement</t>
  </si>
  <si>
    <t xml:space="preserve">MFG-151641682 (01.07.2025) </t>
  </si>
  <si>
    <t>need to edit</t>
  </si>
  <si>
    <t>Bellow_Butterfly-Valve_31 0x4x400mm</t>
  </si>
  <si>
    <t>GERD8900WA-T (GERD8901W-T) Mini50, 10.2/14.2W, 23D, 3k (With Driver 5920005 = 33) (With Female Connector SWI033514O0 = 33)</t>
  </si>
  <si>
    <t>FL-24G-B-50D-3000k Track Grille Lumiere 50D 3k Black</t>
  </si>
  <si>
    <t>edit</t>
  </si>
  <si>
    <t>TSUKI-OLS-2718 24V 26W 1000-30D IP67 3k (FL-24G-B-50D-3000k = 5) Track Grille Lumiere 50D 3k Black</t>
  </si>
  <si>
    <t>GERD8989W-T Mini30, 3k (With Driver SE-6-100-450-G1D=5) (With Male Connector SWI0344180O=5)</t>
  </si>
  <si>
    <t>GERD98669W-T (GERD8969W-T) Mini50 Pinhole 10.3/14.2W, 21D, 3k (With Driver 5920005 = 8) (With Female Connector SWI0335140O = 8)</t>
  </si>
  <si>
    <t>GSTDA1800W-AW30 Accord65, Downlight 20W, 34D 3k (With Female Connector SWI0335140O = 37)</t>
  </si>
  <si>
    <t>GSTDA1800W-AW30 Accord65, Downlight 19.8W, 33D, 3k (With Female Connector SWI0335140O = 23)</t>
  </si>
  <si>
    <t>GERD8918W-T (GERD8849W-T) Mini50, 10.2W/14.2W, 26D, 3k (With Driver 5920005 = 64) (With Female Connector SWI0335140O = 64)</t>
  </si>
  <si>
    <t>GRB841M Square Frame (GERD8849W-T)</t>
  </si>
  <si>
    <t>GERD8127W-T Synclite 10W/13.9W/19.3W, 32D, 3k (With Driver 5920005= 15) (With Female Connector SWI0335140O = 15)</t>
  </si>
  <si>
    <t>GERD8127W-T Synclite 10W/13.9W/19.3W, 19D, 3k (With Driver 5920005= 12) (With Female Connector SWI0335140O = 12)</t>
  </si>
  <si>
    <t>GERD8202W-T Glareless 27.7W, 32D 3k (With Driver SE-30-200-800-W1D = 5) (With Female Connector SWI0335140O = 5)</t>
  </si>
  <si>
    <t>GERD8604W-T Synclite 19.3W, 31D 3k (With Driver 5920005 = 12) (With Female Connector SWI0335140O = 12)</t>
  </si>
  <si>
    <t>GERS6922H-T Mini50 EZ Mount 10.1W, 23D, 3k</t>
  </si>
  <si>
    <t>GERS7306H-T Mini30 Track Spot 4.4W, 47D, 3k</t>
  </si>
  <si>
    <t>GRB898N Accessories Spike With Meanwell Driver XLG-100I-24A = 3</t>
  </si>
  <si>
    <t>GERS7088BA-T (GERS7092BA-T) Track Spot 13.6W, 33D, 3k</t>
  </si>
  <si>
    <t xml:space="preserve">MFG-151644665 ( 08.07.2025)   MFG-151644666 (08.07.2025) </t>
  </si>
  <si>
    <t>SPRAY NOZZLE D 12.6 120 D EG SS</t>
  </si>
  <si>
    <t xml:space="preserve">MFG-151639440 (26.06.2025) </t>
  </si>
  <si>
    <t>Screw conv. Bellow_Dia278 x500lg_MT3.0</t>
  </si>
  <si>
    <t xml:space="preserve">APS-151642309 (02.07.2025) </t>
  </si>
  <si>
    <t xml:space="preserve">MFG-151618200 (07.05.2025) </t>
  </si>
  <si>
    <t>20/6/25</t>
  </si>
  <si>
    <t>Water Bellow_BP60_Dia 170 x4x300mm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</si>
</sst>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3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rgb="FF000000"/>
      <name val="Arial"/>
      <family val="2"/>
    </font>
    <font>
      <sz val="10"/>
      <color theme="1"/>
      <name val="Calibri"/>
      <family val="2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000000"/>
      <name val="Helvetica-Bold"/>
      <charset val="134"/>
    </font>
    <font>
      <sz val="11"/>
      <color theme="1"/>
      <name val="Calibri"/>
      <family val="2"/>
      <scheme val="minor"/>
    </font>
    <font>
      <sz val="11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56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/>
      <top/>
      <bottom style="medium">
        <color indexed="64"/>
      </bottom>
      <diagonal/>
    </border>
  </borders>
  <cellStyleXfs count="2">
    <xf numFmtId="0" fontId="0" fillId="0" borderId="0"/>
    <xf numFmtId="43" fontId="11" fillId="0" borderId="0" applyFont="0" applyFill="0" applyBorder="0" applyAlignment="0" applyProtection="0"/>
  </cellStyleXfs>
  <cellXfs count="235">
    <xf numFmtId="0" fontId="0" fillId="0" borderId="0" xfId="0"/>
    <xf numFmtId="0" fontId="0" fillId="0" borderId="0" xfId="0" applyAlignment="1"/>
    <xf numFmtId="0" fontId="4" fillId="0" borderId="1" xfId="0" applyFont="1" applyBorder="1" applyAlignment="1">
      <alignment horizontal="center"/>
    </xf>
    <xf numFmtId="0" fontId="4" fillId="0" borderId="3" xfId="0" applyFont="1" applyBorder="1" applyAlignment="1"/>
    <xf numFmtId="0" fontId="5" fillId="0" borderId="4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/>
    </xf>
    <xf numFmtId="43" fontId="5" fillId="0" borderId="7" xfId="1" applyFont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6" fillId="0" borderId="8" xfId="0" applyFont="1" applyBorder="1" applyAlignment="1">
      <alignment horizontal="center" vertical="center" wrapText="1"/>
    </xf>
    <xf numFmtId="0" fontId="0" fillId="0" borderId="8" xfId="0" applyFill="1" applyBorder="1" applyAlignment="1">
      <alignment horizontal="center" vertical="center"/>
    </xf>
    <xf numFmtId="0" fontId="7" fillId="0" borderId="8" xfId="0" applyFont="1" applyBorder="1" applyAlignment="1">
      <alignment horizontal="center" vertical="center" wrapText="1"/>
    </xf>
    <xf numFmtId="43" fontId="0" fillId="0" borderId="8" xfId="1" applyFont="1" applyFill="1" applyBorder="1" applyAlignment="1">
      <alignment horizontal="center" vertical="center"/>
    </xf>
    <xf numFmtId="43" fontId="0" fillId="0" borderId="9" xfId="1" applyFont="1" applyFill="1" applyBorder="1" applyAlignment="1">
      <alignment horizontal="center" vertical="center"/>
    </xf>
    <xf numFmtId="43" fontId="8" fillId="0" borderId="4" xfId="1" applyFont="1" applyBorder="1" applyAlignment="1">
      <alignment vertical="top"/>
    </xf>
    <xf numFmtId="43" fontId="8" fillId="0" borderId="16" xfId="1" applyFont="1" applyBorder="1" applyAlignment="1">
      <alignment vertical="top"/>
    </xf>
    <xf numFmtId="43" fontId="8" fillId="0" borderId="19" xfId="1" applyFont="1" applyBorder="1" applyAlignment="1">
      <alignment vertical="top"/>
    </xf>
    <xf numFmtId="43" fontId="8" fillId="0" borderId="23" xfId="1" applyFont="1" applyBorder="1" applyAlignment="1">
      <alignment vertical="top"/>
    </xf>
    <xf numFmtId="0" fontId="0" fillId="0" borderId="0" xfId="0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5" fillId="0" borderId="24" xfId="0" applyFont="1" applyBorder="1" applyAlignment="1">
      <alignment horizontal="center" vertical="center"/>
    </xf>
    <xf numFmtId="0" fontId="5" fillId="0" borderId="25" xfId="0" applyFont="1" applyBorder="1" applyAlignment="1">
      <alignment horizontal="center" vertical="center" wrapText="1"/>
    </xf>
    <xf numFmtId="0" fontId="5" fillId="0" borderId="25" xfId="0" applyFont="1" applyBorder="1" applyAlignment="1">
      <alignment horizontal="center" vertical="center"/>
    </xf>
    <xf numFmtId="43" fontId="5" fillId="0" borderId="26" xfId="1" applyFont="1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28" xfId="0" applyBorder="1" applyAlignment="1">
      <alignment horizontal="center" vertical="center" wrapText="1"/>
    </xf>
    <xf numFmtId="0" fontId="0" fillId="0" borderId="28" xfId="0" applyBorder="1" applyAlignment="1">
      <alignment horizontal="center" vertical="center"/>
    </xf>
    <xf numFmtId="43" fontId="0" fillId="0" borderId="28" xfId="1" applyFont="1" applyFill="1" applyBorder="1" applyAlignment="1">
      <alignment horizontal="center" vertical="center"/>
    </xf>
    <xf numFmtId="43" fontId="0" fillId="0" borderId="29" xfId="1" applyFont="1" applyFill="1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8" xfId="0" applyBorder="1" applyAlignment="1">
      <alignment horizontal="center" vertical="center" wrapText="1"/>
    </xf>
    <xf numFmtId="0" fontId="0" fillId="0" borderId="17" xfId="0" applyBorder="1" applyAlignment="1">
      <alignment horizontal="center" vertical="center" wrapText="1"/>
    </xf>
    <xf numFmtId="0" fontId="0" fillId="0" borderId="20" xfId="0" applyBorder="1" applyAlignment="1">
      <alignment horizontal="center" vertical="center"/>
    </xf>
    <xf numFmtId="0" fontId="0" fillId="0" borderId="21" xfId="0" applyBorder="1" applyAlignment="1">
      <alignment horizontal="center" vertical="center" wrapText="1"/>
    </xf>
    <xf numFmtId="0" fontId="0" fillId="0" borderId="21" xfId="0" applyBorder="1" applyAlignment="1">
      <alignment horizontal="center" vertical="center"/>
    </xf>
    <xf numFmtId="43" fontId="0" fillId="0" borderId="21" xfId="1" applyFont="1" applyFill="1" applyBorder="1" applyAlignment="1">
      <alignment horizontal="center" vertical="center"/>
    </xf>
    <xf numFmtId="43" fontId="8" fillId="0" borderId="30" xfId="1" applyFont="1" applyBorder="1" applyAlignment="1">
      <alignment vertical="top"/>
    </xf>
    <xf numFmtId="0" fontId="4" fillId="0" borderId="3" xfId="0" applyFont="1" applyBorder="1" applyAlignment="1">
      <alignment horizontal="center"/>
    </xf>
    <xf numFmtId="14" fontId="0" fillId="0" borderId="0" xfId="0" applyNumberFormat="1" applyAlignment="1"/>
    <xf numFmtId="0" fontId="5" fillId="0" borderId="31" xfId="0" applyFont="1" applyBorder="1" applyAlignment="1">
      <alignment horizontal="center" vertical="center" wrapText="1"/>
    </xf>
    <xf numFmtId="0" fontId="6" fillId="0" borderId="28" xfId="0" applyFont="1" applyBorder="1" applyAlignment="1">
      <alignment horizontal="center" vertical="center" wrapText="1"/>
    </xf>
    <xf numFmtId="43" fontId="0" fillId="0" borderId="28" xfId="1" applyFont="1" applyFill="1" applyBorder="1" applyAlignment="1">
      <alignment horizontal="center" vertical="center" wrapText="1"/>
    </xf>
    <xf numFmtId="0" fontId="6" fillId="0" borderId="21" xfId="0" applyFont="1" applyBorder="1" applyAlignment="1">
      <alignment horizontal="center" vertical="center" wrapText="1"/>
    </xf>
    <xf numFmtId="0" fontId="0" fillId="0" borderId="21" xfId="0" applyFill="1" applyBorder="1" applyAlignment="1">
      <alignment horizontal="center" vertical="center" wrapText="1"/>
    </xf>
    <xf numFmtId="43" fontId="0" fillId="0" borderId="21" xfId="1" applyFont="1" applyFill="1" applyBorder="1" applyAlignment="1">
      <alignment horizontal="center" vertical="center" wrapText="1"/>
    </xf>
    <xf numFmtId="43" fontId="0" fillId="0" borderId="22" xfId="1" applyFont="1" applyFill="1" applyBorder="1" applyAlignment="1">
      <alignment horizontal="center" vertical="center"/>
    </xf>
    <xf numFmtId="0" fontId="0" fillId="2" borderId="0" xfId="0" applyFill="1"/>
    <xf numFmtId="43" fontId="8" fillId="0" borderId="35" xfId="1" applyFont="1" applyBorder="1" applyAlignment="1">
      <alignment vertical="top"/>
    </xf>
    <xf numFmtId="0" fontId="0" fillId="0" borderId="0" xfId="0" applyFill="1"/>
    <xf numFmtId="0" fontId="0" fillId="0" borderId="0" xfId="0" applyAlignment="1">
      <alignment horizontal="center" vertical="center"/>
    </xf>
    <xf numFmtId="0" fontId="0" fillId="0" borderId="0" xfId="0" applyAlignment="1">
      <alignment wrapText="1"/>
    </xf>
    <xf numFmtId="0" fontId="4" fillId="0" borderId="3" xfId="0" applyFont="1" applyBorder="1" applyAlignment="1">
      <alignment horizontal="center" wrapText="1"/>
    </xf>
    <xf numFmtId="14" fontId="0" fillId="0" borderId="0" xfId="0" applyNumberFormat="1" applyAlignment="1">
      <alignment wrapText="1"/>
    </xf>
    <xf numFmtId="0" fontId="5" fillId="0" borderId="24" xfId="0" applyFont="1" applyBorder="1" applyAlignment="1">
      <alignment horizontal="center" vertical="center" wrapText="1"/>
    </xf>
    <xf numFmtId="43" fontId="5" fillId="0" borderId="26" xfId="1" applyFont="1" applyBorder="1" applyAlignment="1">
      <alignment horizontal="center" vertical="center" wrapText="1"/>
    </xf>
    <xf numFmtId="0" fontId="6" fillId="0" borderId="8" xfId="0" applyFont="1" applyFill="1" applyBorder="1" applyAlignment="1">
      <alignment horizontal="center" vertical="center" wrapText="1"/>
    </xf>
    <xf numFmtId="43" fontId="9" fillId="0" borderId="8" xfId="1" applyFont="1" applyFill="1" applyBorder="1" applyAlignment="1">
      <alignment horizontal="center" vertical="center" wrapText="1"/>
    </xf>
    <xf numFmtId="43" fontId="0" fillId="0" borderId="8" xfId="1" applyFont="1" applyFill="1" applyBorder="1" applyAlignment="1">
      <alignment horizontal="center" vertical="center" wrapText="1"/>
    </xf>
    <xf numFmtId="0" fontId="0" fillId="0" borderId="8" xfId="0" applyFill="1" applyBorder="1" applyAlignment="1">
      <alignment horizontal="center" vertical="center" wrapText="1"/>
    </xf>
    <xf numFmtId="0" fontId="6" fillId="0" borderId="37" xfId="0" applyFont="1" applyFill="1" applyBorder="1" applyAlignment="1">
      <alignment horizontal="center" vertical="center" wrapText="1"/>
    </xf>
    <xf numFmtId="0" fontId="6" fillId="2" borderId="38" xfId="0" applyFont="1" applyFill="1" applyBorder="1" applyAlignment="1">
      <alignment horizontal="center" vertical="center" wrapText="1"/>
    </xf>
    <xf numFmtId="0" fontId="6" fillId="0" borderId="0" xfId="0" applyFont="1" applyFill="1" applyBorder="1" applyAlignment="1">
      <alignment horizontal="center" vertical="center" wrapText="1"/>
    </xf>
    <xf numFmtId="43" fontId="8" fillId="0" borderId="30" xfId="1" applyFont="1" applyBorder="1" applyAlignment="1">
      <alignment vertical="top" wrapText="1"/>
    </xf>
    <xf numFmtId="43" fontId="8" fillId="0" borderId="16" xfId="1" applyFont="1" applyBorder="1" applyAlignment="1">
      <alignment vertical="top" wrapText="1"/>
    </xf>
    <xf numFmtId="43" fontId="8" fillId="0" borderId="19" xfId="1" applyFont="1" applyBorder="1" applyAlignment="1">
      <alignment vertical="top" wrapText="1"/>
    </xf>
    <xf numFmtId="43" fontId="8" fillId="0" borderId="23" xfId="1" applyFont="1" applyBorder="1" applyAlignment="1">
      <alignment vertical="top" wrapText="1"/>
    </xf>
    <xf numFmtId="43" fontId="0" fillId="0" borderId="39" xfId="1" applyFont="1" applyFill="1" applyBorder="1" applyAlignment="1">
      <alignment horizontal="center" vertical="center" wrapText="1"/>
    </xf>
    <xf numFmtId="43" fontId="0" fillId="0" borderId="40" xfId="1" applyFont="1" applyFill="1" applyBorder="1" applyAlignment="1">
      <alignment horizontal="center" vertical="center"/>
    </xf>
    <xf numFmtId="0" fontId="6" fillId="0" borderId="6" xfId="0" applyFont="1" applyBorder="1" applyAlignment="1">
      <alignment horizontal="center" vertical="center" wrapText="1"/>
    </xf>
    <xf numFmtId="43" fontId="0" fillId="0" borderId="41" xfId="1" applyFont="1" applyFill="1" applyBorder="1" applyAlignment="1">
      <alignment horizontal="center" vertical="center" wrapText="1"/>
    </xf>
    <xf numFmtId="43" fontId="0" fillId="0" borderId="4" xfId="1" applyFont="1" applyFill="1" applyBorder="1" applyAlignment="1">
      <alignment horizontal="center" vertical="center"/>
    </xf>
    <xf numFmtId="0" fontId="6" fillId="0" borderId="28" xfId="0" applyFont="1" applyFill="1" applyBorder="1" applyAlignment="1">
      <alignment horizontal="center" vertical="center" wrapText="1"/>
    </xf>
    <xf numFmtId="0" fontId="0" fillId="0" borderId="28" xfId="0" applyFill="1" applyBorder="1" applyAlignment="1">
      <alignment horizontal="center" vertical="center"/>
    </xf>
    <xf numFmtId="43" fontId="0" fillId="0" borderId="18" xfId="1" applyFont="1" applyFill="1" applyBorder="1" applyAlignment="1">
      <alignment horizontal="center" vertical="center"/>
    </xf>
    <xf numFmtId="0" fontId="0" fillId="0" borderId="20" xfId="0" applyFill="1" applyBorder="1" applyAlignment="1">
      <alignment horizontal="center" vertical="center"/>
    </xf>
    <xf numFmtId="0" fontId="6" fillId="0" borderId="21" xfId="0" applyFont="1" applyFill="1" applyBorder="1" applyAlignment="1">
      <alignment horizontal="center" vertical="center" wrapText="1"/>
    </xf>
    <xf numFmtId="0" fontId="0" fillId="0" borderId="21" xfId="0" applyFill="1" applyBorder="1" applyAlignment="1">
      <alignment horizontal="center" vertical="center"/>
    </xf>
    <xf numFmtId="43" fontId="0" fillId="0" borderId="21" xfId="1" applyFont="1" applyBorder="1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43" fontId="9" fillId="0" borderId="42" xfId="1" applyFont="1" applyFill="1" applyBorder="1" applyAlignment="1">
      <alignment horizontal="center" vertical="center"/>
    </xf>
    <xf numFmtId="0" fontId="0" fillId="0" borderId="0" xfId="0" applyFill="1" applyAlignment="1">
      <alignment wrapText="1"/>
    </xf>
    <xf numFmtId="43" fontId="0" fillId="0" borderId="18" xfId="1" applyFont="1" applyFill="1" applyBorder="1" applyAlignment="1">
      <alignment horizontal="center" vertical="center" wrapText="1"/>
    </xf>
    <xf numFmtId="0" fontId="0" fillId="0" borderId="38" xfId="0" applyBorder="1" applyAlignment="1">
      <alignment wrapText="1"/>
    </xf>
    <xf numFmtId="0" fontId="0" fillId="0" borderId="17" xfId="0" applyFill="1" applyBorder="1" applyAlignment="1">
      <alignment horizontal="center" vertical="center" wrapText="1"/>
    </xf>
    <xf numFmtId="0" fontId="10" fillId="0" borderId="8" xfId="0" applyFont="1" applyFill="1" applyBorder="1" applyAlignment="1">
      <alignment horizontal="center" vertical="center"/>
    </xf>
    <xf numFmtId="0" fontId="0" fillId="0" borderId="38" xfId="0" applyFill="1" applyBorder="1" applyAlignment="1">
      <alignment wrapText="1"/>
    </xf>
    <xf numFmtId="0" fontId="0" fillId="0" borderId="32" xfId="0" applyFill="1" applyBorder="1" applyAlignment="1">
      <alignment horizontal="center" vertical="center" wrapText="1"/>
    </xf>
    <xf numFmtId="0" fontId="6" fillId="0" borderId="33" xfId="0" applyFont="1" applyFill="1" applyBorder="1" applyAlignment="1">
      <alignment horizontal="center" vertical="center" wrapText="1"/>
    </xf>
    <xf numFmtId="0" fontId="10" fillId="0" borderId="33" xfId="0" applyFont="1" applyFill="1" applyBorder="1" applyAlignment="1">
      <alignment horizontal="center" vertical="center"/>
    </xf>
    <xf numFmtId="0" fontId="0" fillId="0" borderId="33" xfId="0" applyFill="1" applyBorder="1" applyAlignment="1">
      <alignment horizontal="center" vertical="center"/>
    </xf>
    <xf numFmtId="43" fontId="9" fillId="0" borderId="33" xfId="1" applyFont="1" applyFill="1" applyBorder="1" applyAlignment="1">
      <alignment horizontal="center" vertical="center" wrapText="1"/>
    </xf>
    <xf numFmtId="43" fontId="0" fillId="0" borderId="34" xfId="1" applyFont="1" applyFill="1" applyBorder="1" applyAlignment="1">
      <alignment horizontal="center" vertical="center" wrapText="1"/>
    </xf>
    <xf numFmtId="43" fontId="8" fillId="0" borderId="43" xfId="1" applyFont="1" applyBorder="1" applyAlignment="1">
      <alignment vertical="top" wrapText="1"/>
    </xf>
    <xf numFmtId="0" fontId="0" fillId="0" borderId="8" xfId="0" applyBorder="1" applyAlignment="1">
      <alignment wrapText="1"/>
    </xf>
    <xf numFmtId="0" fontId="0" fillId="0" borderId="8" xfId="0" applyFill="1" applyBorder="1" applyAlignment="1">
      <alignment wrapText="1"/>
    </xf>
    <xf numFmtId="43" fontId="9" fillId="0" borderId="21" xfId="1" applyFont="1" applyFill="1" applyBorder="1" applyAlignment="1">
      <alignment horizontal="center" vertical="center"/>
    </xf>
    <xf numFmtId="43" fontId="0" fillId="0" borderId="28" xfId="1" applyFont="1" applyBorder="1" applyAlignment="1">
      <alignment horizontal="center" vertical="center"/>
    </xf>
    <xf numFmtId="43" fontId="9" fillId="0" borderId="8" xfId="1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wrapText="1"/>
    </xf>
    <xf numFmtId="0" fontId="0" fillId="0" borderId="28" xfId="0" applyFill="1" applyBorder="1" applyAlignment="1">
      <alignment horizontal="center" vertical="center" wrapText="1"/>
    </xf>
    <xf numFmtId="0" fontId="0" fillId="2" borderId="38" xfId="0" applyFill="1" applyBorder="1" applyAlignment="1">
      <alignment vertical="center"/>
    </xf>
    <xf numFmtId="0" fontId="10" fillId="0" borderId="8" xfId="0" applyFont="1" applyBorder="1" applyAlignment="1">
      <alignment horizontal="center" vertical="center"/>
    </xf>
    <xf numFmtId="0" fontId="10" fillId="0" borderId="8" xfId="0" applyFont="1" applyBorder="1" applyAlignment="1">
      <alignment horizontal="center" vertical="center" wrapText="1"/>
    </xf>
    <xf numFmtId="0" fontId="0" fillId="0" borderId="32" xfId="0" applyBorder="1" applyAlignment="1">
      <alignment horizontal="center" vertical="center"/>
    </xf>
    <xf numFmtId="0" fontId="6" fillId="0" borderId="33" xfId="0" applyFont="1" applyBorder="1" applyAlignment="1">
      <alignment horizontal="center" vertical="center" wrapText="1"/>
    </xf>
    <xf numFmtId="0" fontId="10" fillId="0" borderId="33" xfId="0" applyFont="1" applyBorder="1" applyAlignment="1">
      <alignment horizontal="center" vertical="center" wrapText="1"/>
    </xf>
    <xf numFmtId="43" fontId="0" fillId="0" borderId="33" xfId="1" applyFont="1" applyFill="1" applyBorder="1" applyAlignment="1">
      <alignment horizontal="center" vertical="center"/>
    </xf>
    <xf numFmtId="43" fontId="0" fillId="0" borderId="7" xfId="1" applyFont="1" applyFill="1" applyBorder="1" applyAlignment="1">
      <alignment horizontal="center" vertical="center"/>
    </xf>
    <xf numFmtId="0" fontId="0" fillId="2" borderId="8" xfId="0" applyFill="1" applyBorder="1" applyAlignment="1">
      <alignment vertical="center"/>
    </xf>
    <xf numFmtId="0" fontId="0" fillId="0" borderId="44" xfId="0" applyBorder="1" applyAlignment="1">
      <alignment horizontal="center" vertical="center"/>
    </xf>
    <xf numFmtId="0" fontId="6" fillId="0" borderId="45" xfId="0" applyFont="1" applyBorder="1" applyAlignment="1">
      <alignment horizontal="center" vertical="center" wrapText="1"/>
    </xf>
    <xf numFmtId="0" fontId="7" fillId="0" borderId="46" xfId="0" applyFont="1" applyBorder="1" applyAlignment="1">
      <alignment horizontal="center" vertical="center"/>
    </xf>
    <xf numFmtId="43" fontId="0" fillId="0" borderId="15" xfId="1" applyFont="1" applyFill="1" applyBorder="1" applyAlignment="1">
      <alignment horizontal="center" vertical="center"/>
    </xf>
    <xf numFmtId="43" fontId="8" fillId="0" borderId="43" xfId="1" applyFont="1" applyBorder="1" applyAlignment="1">
      <alignment vertical="top"/>
    </xf>
    <xf numFmtId="0" fontId="5" fillId="0" borderId="36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 wrapText="1"/>
    </xf>
    <xf numFmtId="0" fontId="0" fillId="0" borderId="47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14" fontId="4" fillId="0" borderId="2" xfId="0" applyNumberFormat="1" applyFont="1" applyBorder="1" applyAlignment="1">
      <alignment horizontal="left"/>
    </xf>
    <xf numFmtId="0" fontId="0" fillId="0" borderId="48" xfId="0" applyFill="1" applyBorder="1" applyAlignment="1">
      <alignment horizontal="center" vertical="center"/>
    </xf>
    <xf numFmtId="0" fontId="6" fillId="0" borderId="45" xfId="0" applyFont="1" applyFill="1" applyBorder="1" applyAlignment="1">
      <alignment horizontal="center" vertical="center" wrapText="1"/>
    </xf>
    <xf numFmtId="0" fontId="0" fillId="0" borderId="8" xfId="0" applyBorder="1" applyAlignment="1">
      <alignment horizontal="right" vertical="center"/>
    </xf>
    <xf numFmtId="0" fontId="0" fillId="0" borderId="51" xfId="0" applyFill="1" applyBorder="1" applyAlignment="1">
      <alignment horizontal="center" vertical="center"/>
    </xf>
    <xf numFmtId="4" fontId="0" fillId="0" borderId="8" xfId="0" applyNumberFormat="1" applyFill="1" applyBorder="1" applyAlignment="1"/>
    <xf numFmtId="0" fontId="4" fillId="0" borderId="3" xfId="0" applyFont="1" applyBorder="1" applyAlignment="1">
      <alignment wrapText="1"/>
    </xf>
    <xf numFmtId="14" fontId="4" fillId="0" borderId="2" xfId="0" applyNumberFormat="1" applyFont="1" applyBorder="1" applyAlignment="1">
      <alignment horizontal="left" wrapText="1"/>
    </xf>
    <xf numFmtId="0" fontId="5" fillId="0" borderId="36" xfId="0" applyFont="1" applyBorder="1" applyAlignment="1">
      <alignment horizontal="center" vertical="center" wrapText="1"/>
    </xf>
    <xf numFmtId="43" fontId="5" fillId="0" borderId="7" xfId="1" applyFont="1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6" fillId="0" borderId="14" xfId="0" applyFont="1" applyBorder="1" applyAlignment="1">
      <alignment horizontal="center" vertical="center" wrapText="1"/>
    </xf>
    <xf numFmtId="0" fontId="0" fillId="0" borderId="8" xfId="0" applyBorder="1" applyAlignment="1">
      <alignment horizontal="right" vertical="center" wrapText="1"/>
    </xf>
    <xf numFmtId="43" fontId="0" fillId="0" borderId="15" xfId="1" applyFont="1" applyFill="1" applyBorder="1" applyAlignment="1">
      <alignment horizontal="center" vertical="center" wrapText="1"/>
    </xf>
    <xf numFmtId="0" fontId="4" fillId="0" borderId="52" xfId="0" applyFont="1" applyBorder="1" applyAlignment="1"/>
    <xf numFmtId="0" fontId="0" fillId="0" borderId="13" xfId="0" applyBorder="1" applyAlignment="1">
      <alignment horizontal="center" vertical="center"/>
    </xf>
    <xf numFmtId="4" fontId="0" fillId="0" borderId="8" xfId="0" applyNumberFormat="1" applyBorder="1" applyAlignment="1">
      <alignment vertical="center"/>
    </xf>
    <xf numFmtId="43" fontId="0" fillId="0" borderId="15" xfId="1" applyFont="1" applyFill="1" applyBorder="1" applyAlignment="1">
      <alignment vertical="center"/>
    </xf>
    <xf numFmtId="0" fontId="0" fillId="0" borderId="53" xfId="0" applyBorder="1" applyAlignment="1">
      <alignment horizontal="center" vertical="center"/>
    </xf>
    <xf numFmtId="4" fontId="0" fillId="0" borderId="54" xfId="0" applyNumberFormat="1" applyBorder="1" applyAlignment="1">
      <alignment vertical="center"/>
    </xf>
    <xf numFmtId="0" fontId="9" fillId="0" borderId="27" xfId="0" applyFont="1" applyFill="1" applyBorder="1" applyAlignment="1">
      <alignment horizontal="center" vertical="center" wrapText="1"/>
    </xf>
    <xf numFmtId="0" fontId="0" fillId="0" borderId="28" xfId="0" applyFill="1" applyBorder="1" applyAlignment="1">
      <alignment horizontal="center"/>
    </xf>
    <xf numFmtId="0" fontId="9" fillId="0" borderId="28" xfId="0" applyFont="1" applyFill="1" applyBorder="1" applyAlignment="1">
      <alignment horizontal="center" vertical="center" wrapText="1"/>
    </xf>
    <xf numFmtId="43" fontId="9" fillId="0" borderId="28" xfId="1" applyFont="1" applyFill="1" applyBorder="1" applyAlignment="1">
      <alignment horizontal="center" vertical="center" wrapText="1"/>
    </xf>
    <xf numFmtId="43" fontId="9" fillId="0" borderId="29" xfId="1" applyFont="1" applyFill="1" applyBorder="1" applyAlignment="1">
      <alignment horizontal="center" vertical="center" wrapText="1"/>
    </xf>
    <xf numFmtId="0" fontId="0" fillId="0" borderId="17" xfId="0" applyFont="1" applyBorder="1" applyAlignment="1">
      <alignment horizontal="center" vertical="center" wrapText="1"/>
    </xf>
    <xf numFmtId="43" fontId="9" fillId="0" borderId="18" xfId="1" applyFont="1" applyFill="1" applyBorder="1" applyAlignment="1">
      <alignment horizontal="center" vertical="center" wrapText="1"/>
    </xf>
    <xf numFmtId="0" fontId="0" fillId="0" borderId="17" xfId="0" applyFont="1" applyFill="1" applyBorder="1" applyAlignment="1">
      <alignment horizontal="center" vertical="center" wrapText="1"/>
    </xf>
    <xf numFmtId="0" fontId="0" fillId="0" borderId="20" xfId="0" applyFont="1" applyBorder="1" applyAlignment="1">
      <alignment horizontal="center" vertical="center" wrapText="1"/>
    </xf>
    <xf numFmtId="43" fontId="9" fillId="0" borderId="22" xfId="1" applyFont="1" applyFill="1" applyBorder="1" applyAlignment="1">
      <alignment horizontal="center" vertical="center" wrapText="1"/>
    </xf>
    <xf numFmtId="0" fontId="9" fillId="0" borderId="27" xfId="0" applyFont="1" applyFill="1" applyBorder="1" applyAlignment="1">
      <alignment horizontal="center" vertical="center"/>
    </xf>
    <xf numFmtId="43" fontId="9" fillId="0" borderId="28" xfId="1" applyFont="1" applyFill="1" applyBorder="1" applyAlignment="1">
      <alignment horizontal="center" vertical="center"/>
    </xf>
    <xf numFmtId="43" fontId="9" fillId="0" borderId="29" xfId="1" applyFont="1" applyFill="1" applyBorder="1" applyAlignment="1">
      <alignment horizontal="center" vertical="center"/>
    </xf>
    <xf numFmtId="43" fontId="9" fillId="0" borderId="18" xfId="1" applyFont="1" applyFill="1" applyBorder="1" applyAlignment="1">
      <alignment horizontal="center" vertical="center"/>
    </xf>
    <xf numFmtId="0" fontId="0" fillId="0" borderId="17" xfId="0" applyFont="1" applyFill="1" applyBorder="1" applyAlignment="1">
      <alignment horizontal="center" vertical="center"/>
    </xf>
    <xf numFmtId="0" fontId="0" fillId="0" borderId="8" xfId="0" applyBorder="1" applyAlignment="1">
      <alignment horizontal="center"/>
    </xf>
    <xf numFmtId="0" fontId="9" fillId="0" borderId="8" xfId="0" applyFont="1" applyFill="1" applyBorder="1" applyAlignment="1">
      <alignment horizontal="center" vertical="center"/>
    </xf>
    <xf numFmtId="0" fontId="0" fillId="0" borderId="27" xfId="0" applyBorder="1" applyAlignment="1">
      <alignment horizontal="center" vertical="center" wrapText="1"/>
    </xf>
    <xf numFmtId="43" fontId="0" fillId="0" borderId="29" xfId="1" applyFont="1" applyFill="1" applyBorder="1" applyAlignment="1">
      <alignment horizontal="center" vertical="center" wrapText="1"/>
    </xf>
    <xf numFmtId="0" fontId="0" fillId="0" borderId="20" xfId="0" applyBorder="1" applyAlignment="1">
      <alignment horizontal="center" vertical="center" wrapText="1"/>
    </xf>
    <xf numFmtId="43" fontId="0" fillId="0" borderId="22" xfId="1" applyFont="1" applyFill="1" applyBorder="1" applyAlignment="1">
      <alignment horizontal="center" vertical="center" wrapText="1"/>
    </xf>
    <xf numFmtId="43" fontId="8" fillId="0" borderId="35" xfId="1" applyFont="1" applyBorder="1" applyAlignment="1">
      <alignment vertical="top" wrapText="1"/>
    </xf>
    <xf numFmtId="43" fontId="8" fillId="0" borderId="4" xfId="1" applyFont="1" applyBorder="1" applyAlignment="1">
      <alignment vertical="top" wrapText="1"/>
    </xf>
    <xf numFmtId="0" fontId="9" fillId="0" borderId="17" xfId="0" applyFont="1" applyFill="1" applyBorder="1" applyAlignment="1">
      <alignment horizontal="center" vertical="center"/>
    </xf>
    <xf numFmtId="0" fontId="0" fillId="0" borderId="20" xfId="0" applyFont="1" applyFill="1" applyBorder="1" applyAlignment="1">
      <alignment horizontal="center" vertical="center"/>
    </xf>
    <xf numFmtId="43" fontId="5" fillId="0" borderId="25" xfId="1" applyFont="1" applyBorder="1" applyAlignment="1">
      <alignment horizontal="center" vertical="center"/>
    </xf>
    <xf numFmtId="43" fontId="9" fillId="0" borderId="22" xfId="1" applyFont="1" applyFill="1" applyBorder="1" applyAlignment="1">
      <alignment horizontal="center" vertical="center"/>
    </xf>
    <xf numFmtId="43" fontId="0" fillId="0" borderId="0" xfId="1" applyFont="1" applyAlignment="1">
      <alignment horizontal="center" vertical="center"/>
    </xf>
    <xf numFmtId="43" fontId="3" fillId="0" borderId="55" xfId="1" applyFont="1" applyBorder="1" applyAlignment="1">
      <alignment horizontal="center" vertical="center"/>
    </xf>
    <xf numFmtId="14" fontId="0" fillId="3" borderId="8" xfId="0" applyNumberFormat="1" applyFill="1" applyBorder="1" applyAlignment="1">
      <alignment horizontal="center"/>
    </xf>
    <xf numFmtId="0" fontId="12" fillId="3" borderId="8" xfId="0" applyFont="1" applyFill="1" applyBorder="1" applyAlignment="1">
      <alignment horizontal="center"/>
    </xf>
    <xf numFmtId="0" fontId="5" fillId="0" borderId="20" xfId="0" applyFont="1" applyBorder="1" applyAlignment="1">
      <alignment horizontal="center" vertical="center"/>
    </xf>
    <xf numFmtId="0" fontId="8" fillId="0" borderId="17" xfId="0" applyFont="1" applyBorder="1" applyAlignment="1">
      <alignment horizontal="center" vertical="center"/>
    </xf>
    <xf numFmtId="0" fontId="4" fillId="0" borderId="2" xfId="0" applyFont="1" applyBorder="1" applyAlignment="1">
      <alignment horizontal="left"/>
    </xf>
    <xf numFmtId="0" fontId="8" fillId="0" borderId="36" xfId="0" applyFont="1" applyBorder="1" applyAlignment="1">
      <alignment horizontal="right"/>
    </xf>
    <xf numFmtId="0" fontId="8" fillId="0" borderId="6" xfId="0" applyFont="1" applyBorder="1" applyAlignment="1">
      <alignment horizontal="right"/>
    </xf>
    <xf numFmtId="0" fontId="8" fillId="0" borderId="7" xfId="0" applyFont="1" applyBorder="1" applyAlignment="1">
      <alignment horizontal="right"/>
    </xf>
    <xf numFmtId="0" fontId="8" fillId="0" borderId="13" xfId="0" applyFont="1" applyBorder="1" applyAlignment="1">
      <alignment horizontal="right"/>
    </xf>
    <xf numFmtId="0" fontId="8" fillId="0" borderId="14" xfId="0" applyFont="1" applyBorder="1" applyAlignment="1">
      <alignment horizontal="right"/>
    </xf>
    <xf numFmtId="0" fontId="8" fillId="0" borderId="15" xfId="0" applyFont="1" applyBorder="1" applyAlignment="1">
      <alignment horizontal="right"/>
    </xf>
    <xf numFmtId="0" fontId="8" fillId="0" borderId="17" xfId="0" applyFont="1" applyBorder="1" applyAlignment="1">
      <alignment horizontal="right"/>
    </xf>
    <xf numFmtId="0" fontId="8" fillId="0" borderId="8" xfId="0" applyFont="1" applyBorder="1" applyAlignment="1">
      <alignment horizontal="right"/>
    </xf>
    <xf numFmtId="0" fontId="8" fillId="0" borderId="18" xfId="0" applyFont="1" applyBorder="1" applyAlignment="1">
      <alignment horizontal="right"/>
    </xf>
    <xf numFmtId="0" fontId="8" fillId="0" borderId="20" xfId="0" applyFont="1" applyBorder="1" applyAlignment="1">
      <alignment horizontal="right"/>
    </xf>
    <xf numFmtId="0" fontId="8" fillId="0" borderId="21" xfId="0" applyFont="1" applyBorder="1" applyAlignment="1">
      <alignment horizontal="right"/>
    </xf>
    <xf numFmtId="0" fontId="8" fillId="0" borderId="22" xfId="0" applyFont="1" applyBorder="1" applyAlignment="1">
      <alignment horizontal="right"/>
    </xf>
    <xf numFmtId="0" fontId="8" fillId="0" borderId="20" xfId="0" applyFont="1" applyBorder="1" applyAlignment="1">
      <alignment horizontal="right" wrapText="1"/>
    </xf>
    <xf numFmtId="0" fontId="8" fillId="0" borderId="21" xfId="0" applyFont="1" applyBorder="1" applyAlignment="1">
      <alignment horizontal="right" wrapText="1"/>
    </xf>
    <xf numFmtId="0" fontId="8" fillId="0" borderId="22" xfId="0" applyFont="1" applyBorder="1" applyAlignment="1">
      <alignment horizontal="right" wrapText="1"/>
    </xf>
    <xf numFmtId="0" fontId="4" fillId="0" borderId="1" xfId="0" applyFont="1" applyBorder="1" applyAlignment="1">
      <alignment horizontal="center" wrapText="1"/>
    </xf>
    <xf numFmtId="0" fontId="4" fillId="0" borderId="2" xfId="0" applyFont="1" applyBorder="1" applyAlignment="1">
      <alignment horizontal="center" wrapText="1"/>
    </xf>
    <xf numFmtId="0" fontId="4" fillId="0" borderId="2" xfId="0" applyFont="1" applyBorder="1" applyAlignment="1">
      <alignment horizontal="left" wrapText="1"/>
    </xf>
    <xf numFmtId="0" fontId="8" fillId="0" borderId="36" xfId="0" applyFont="1" applyBorder="1" applyAlignment="1">
      <alignment horizontal="right" wrapText="1"/>
    </xf>
    <xf numFmtId="0" fontId="8" fillId="0" borderId="6" xfId="0" applyFont="1" applyBorder="1" applyAlignment="1">
      <alignment horizontal="right" wrapText="1"/>
    </xf>
    <xf numFmtId="0" fontId="8" fillId="0" borderId="7" xfId="0" applyFont="1" applyBorder="1" applyAlignment="1">
      <alignment horizontal="right" wrapText="1"/>
    </xf>
    <xf numFmtId="0" fontId="8" fillId="0" borderId="13" xfId="0" applyFont="1" applyBorder="1" applyAlignment="1">
      <alignment horizontal="right" wrapText="1"/>
    </xf>
    <xf numFmtId="0" fontId="8" fillId="0" borderId="14" xfId="0" applyFont="1" applyBorder="1" applyAlignment="1">
      <alignment horizontal="right" wrapText="1"/>
    </xf>
    <xf numFmtId="0" fontId="8" fillId="0" borderId="15" xfId="0" applyFont="1" applyBorder="1" applyAlignment="1">
      <alignment horizontal="right" wrapText="1"/>
    </xf>
    <xf numFmtId="0" fontId="8" fillId="0" borderId="17" xfId="0" applyFont="1" applyBorder="1" applyAlignment="1">
      <alignment horizontal="right" wrapText="1"/>
    </xf>
    <xf numFmtId="0" fontId="8" fillId="0" borderId="8" xfId="0" applyFont="1" applyBorder="1" applyAlignment="1">
      <alignment horizontal="right" wrapText="1"/>
    </xf>
    <xf numFmtId="0" fontId="8" fillId="0" borderId="18" xfId="0" applyFont="1" applyBorder="1" applyAlignment="1">
      <alignment horizontal="right" wrapText="1"/>
    </xf>
    <xf numFmtId="0" fontId="8" fillId="0" borderId="41" xfId="0" applyFont="1" applyBorder="1" applyAlignment="1">
      <alignment horizontal="right"/>
    </xf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8" fillId="0" borderId="36" xfId="0" applyFont="1" applyFill="1" applyBorder="1" applyAlignment="1">
      <alignment horizontal="right"/>
    </xf>
    <xf numFmtId="0" fontId="8" fillId="0" borderId="6" xfId="0" applyFont="1" applyFill="1" applyBorder="1" applyAlignment="1">
      <alignment horizontal="right"/>
    </xf>
    <xf numFmtId="0" fontId="8" fillId="0" borderId="42" xfId="0" applyFont="1" applyFill="1" applyBorder="1" applyAlignment="1">
      <alignment horizontal="right"/>
    </xf>
    <xf numFmtId="0" fontId="8" fillId="0" borderId="7" xfId="0" applyFont="1" applyFill="1" applyBorder="1" applyAlignment="1">
      <alignment horizontal="right"/>
    </xf>
    <xf numFmtId="0" fontId="8" fillId="0" borderId="49" xfId="0" applyFont="1" applyBorder="1" applyAlignment="1">
      <alignment horizontal="right"/>
    </xf>
    <xf numFmtId="0" fontId="8" fillId="0" borderId="50" xfId="0" applyFont="1" applyBorder="1" applyAlignment="1">
      <alignment horizontal="right"/>
    </xf>
    <xf numFmtId="0" fontId="8" fillId="0" borderId="10" xfId="0" applyFont="1" applyFill="1" applyBorder="1" applyAlignment="1">
      <alignment horizontal="right"/>
    </xf>
    <xf numFmtId="0" fontId="8" fillId="0" borderId="11" xfId="0" applyFont="1" applyFill="1" applyBorder="1" applyAlignment="1">
      <alignment horizontal="right"/>
    </xf>
    <xf numFmtId="0" fontId="8" fillId="0" borderId="12" xfId="0" applyFont="1" applyFill="1" applyBorder="1" applyAlignment="1">
      <alignment horizontal="right"/>
    </xf>
    <xf numFmtId="0" fontId="8" fillId="0" borderId="36" xfId="0" applyFont="1" applyFill="1" applyBorder="1" applyAlignment="1">
      <alignment horizontal="right" wrapText="1"/>
    </xf>
    <xf numFmtId="0" fontId="8" fillId="0" borderId="6" xfId="0" applyFont="1" applyFill="1" applyBorder="1" applyAlignment="1">
      <alignment horizontal="right" wrapText="1"/>
    </xf>
    <xf numFmtId="0" fontId="8" fillId="0" borderId="7" xfId="0" applyFont="1" applyFill="1" applyBorder="1" applyAlignment="1">
      <alignment horizontal="right" wrapText="1"/>
    </xf>
    <xf numFmtId="0" fontId="8" fillId="0" borderId="10" xfId="0" applyFont="1" applyFill="1" applyBorder="1" applyAlignment="1">
      <alignment horizontal="right" wrapText="1"/>
    </xf>
    <xf numFmtId="0" fontId="8" fillId="0" borderId="11" xfId="0" applyFont="1" applyFill="1" applyBorder="1" applyAlignment="1">
      <alignment horizontal="right" wrapText="1"/>
    </xf>
    <xf numFmtId="0" fontId="8" fillId="0" borderId="12" xfId="0" applyFont="1" applyFill="1" applyBorder="1" applyAlignment="1">
      <alignment horizontal="right" wrapText="1"/>
    </xf>
    <xf numFmtId="0" fontId="8" fillId="0" borderId="32" xfId="0" applyFont="1" applyBorder="1" applyAlignment="1">
      <alignment horizontal="right"/>
    </xf>
    <xf numFmtId="0" fontId="8" fillId="0" borderId="33" xfId="0" applyFont="1" applyBorder="1" applyAlignment="1">
      <alignment horizontal="right"/>
    </xf>
    <xf numFmtId="0" fontId="8" fillId="0" borderId="34" xfId="0" applyFont="1" applyBorder="1" applyAlignment="1">
      <alignment horizontal="right"/>
    </xf>
    <xf numFmtId="0" fontId="8" fillId="0" borderId="32" xfId="0" applyFont="1" applyBorder="1" applyAlignment="1">
      <alignment horizontal="right" wrapText="1"/>
    </xf>
    <xf numFmtId="0" fontId="8" fillId="0" borderId="33" xfId="0" applyFont="1" applyBorder="1" applyAlignment="1">
      <alignment horizontal="right" wrapText="1"/>
    </xf>
    <xf numFmtId="0" fontId="8" fillId="0" borderId="34" xfId="0" applyFont="1" applyBorder="1" applyAlignment="1">
      <alignment horizontal="right" wrapText="1"/>
    </xf>
    <xf numFmtId="0" fontId="0" fillId="0" borderId="8" xfId="0" applyFill="1" applyBorder="1" applyAlignment="1">
      <alignment horizontal="center"/>
    </xf>
    <xf numFmtId="43" fontId="1" fillId="0" borderId="8" xfId="1" applyFont="1" applyFill="1" applyBorder="1" applyAlignment="1">
      <alignment horizontal="center" vertical="center" wrapText="1"/>
    </xf>
    <xf numFmtId="0" fontId="0" fillId="0" borderId="27" xfId="0" applyFont="1" applyFill="1" applyBorder="1" applyAlignment="1">
      <alignment horizontal="center" vertical="center"/>
    </xf>
    <xf numFmtId="0" fontId="9" fillId="0" borderId="28" xfId="0" applyFont="1" applyFill="1" applyBorder="1" applyAlignment="1">
      <alignment horizontal="center" vertical="center"/>
    </xf>
    <xf numFmtId="0" fontId="0" fillId="0" borderId="21" xfId="0" applyFill="1" applyBorder="1" applyAlignment="1">
      <alignment horizontal="center"/>
    </xf>
    <xf numFmtId="43" fontId="2" fillId="0" borderId="21" xfId="1" applyFont="1" applyFill="1" applyBorder="1" applyAlignment="1">
      <alignment horizontal="center" vertical="center" wrapText="1"/>
    </xf>
    <xf numFmtId="0" fontId="5" fillId="0" borderId="27" xfId="0" applyFont="1" applyBorder="1" applyAlignment="1">
      <alignment horizontal="center" vertical="center"/>
    </xf>
    <xf numFmtId="0" fontId="0" fillId="0" borderId="28" xfId="0" applyBorder="1" applyAlignment="1">
      <alignment horizontal="center"/>
    </xf>
    <xf numFmtId="43" fontId="2" fillId="0" borderId="28" xfId="1" applyFont="1" applyFill="1" applyBorder="1" applyAlignment="1">
      <alignment horizontal="center" vertical="center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8"/>
  <sheetViews>
    <sheetView workbookViewId="0">
      <selection activeCell="B3" sqref="B3"/>
    </sheetView>
  </sheetViews>
  <sheetFormatPr defaultColWidth="8.7265625" defaultRowHeight="14.5"/>
  <cols>
    <col min="1" max="1" width="8.7265625" style="1"/>
    <col min="2" max="2" width="18.54296875" style="50" customWidth="1"/>
    <col min="3" max="3" width="8.7265625" style="1"/>
    <col min="4" max="4" width="36.90625" style="1" customWidth="1"/>
    <col min="5" max="5" width="8.7265625" style="1"/>
    <col min="6" max="6" width="10.81640625" style="1" customWidth="1"/>
    <col min="7" max="7" width="11.1796875" style="1" customWidth="1"/>
    <col min="8" max="16384" width="8.7265625" style="1"/>
  </cols>
  <sheetData>
    <row r="1" spans="1:7" ht="18.5">
      <c r="A1" s="135" t="s">
        <v>0</v>
      </c>
      <c r="B1" s="127"/>
      <c r="C1" s="174">
        <v>101</v>
      </c>
      <c r="D1" s="174"/>
      <c r="E1" s="3" t="s">
        <v>1</v>
      </c>
      <c r="F1" s="121">
        <v>45661</v>
      </c>
    </row>
    <row r="2" spans="1:7">
      <c r="A2" s="117" t="s">
        <v>2</v>
      </c>
      <c r="B2" s="118" t="s">
        <v>3</v>
      </c>
      <c r="C2" s="6" t="s">
        <v>4</v>
      </c>
      <c r="D2" s="6" t="s">
        <v>5</v>
      </c>
      <c r="E2" s="6" t="s">
        <v>6</v>
      </c>
      <c r="F2" s="6" t="s">
        <v>7</v>
      </c>
      <c r="G2" s="7" t="s">
        <v>8</v>
      </c>
    </row>
    <row r="3" spans="1:7" ht="25">
      <c r="A3" s="136">
        <v>1</v>
      </c>
      <c r="B3" s="132" t="s">
        <v>9</v>
      </c>
      <c r="C3" s="8">
        <v>615698</v>
      </c>
      <c r="D3" s="8" t="s">
        <v>10</v>
      </c>
      <c r="E3" s="8">
        <v>10</v>
      </c>
      <c r="F3" s="137">
        <v>4831</v>
      </c>
      <c r="G3" s="138">
        <f>F3*E3</f>
        <v>48310</v>
      </c>
    </row>
    <row r="4" spans="1:7" ht="25">
      <c r="A4" s="139">
        <v>2</v>
      </c>
      <c r="B4" s="132" t="s">
        <v>11</v>
      </c>
      <c r="C4" s="8">
        <v>781482</v>
      </c>
      <c r="D4" s="8" t="s">
        <v>12</v>
      </c>
      <c r="E4" s="8">
        <v>3</v>
      </c>
      <c r="F4" s="140">
        <v>24050</v>
      </c>
      <c r="G4" s="138">
        <f>F4*E4</f>
        <v>72150</v>
      </c>
    </row>
    <row r="5" spans="1:7">
      <c r="A5" s="175" t="s">
        <v>8</v>
      </c>
      <c r="B5" s="176"/>
      <c r="C5" s="176"/>
      <c r="D5" s="176"/>
      <c r="E5" s="176"/>
      <c r="F5" s="177"/>
      <c r="G5" s="116">
        <f>SUM(G3:G4)</f>
        <v>120460</v>
      </c>
    </row>
    <row r="6" spans="1:7">
      <c r="A6" s="178" t="s">
        <v>13</v>
      </c>
      <c r="B6" s="179"/>
      <c r="C6" s="179"/>
      <c r="D6" s="179"/>
      <c r="E6" s="179"/>
      <c r="F6" s="180"/>
      <c r="G6" s="15">
        <f>G5*9%</f>
        <v>10841.4</v>
      </c>
    </row>
    <row r="7" spans="1:7">
      <c r="A7" s="181" t="s">
        <v>14</v>
      </c>
      <c r="B7" s="182"/>
      <c r="C7" s="182"/>
      <c r="D7" s="182"/>
      <c r="E7" s="182"/>
      <c r="F7" s="183"/>
      <c r="G7" s="16">
        <f>G6</f>
        <v>10841.4</v>
      </c>
    </row>
    <row r="8" spans="1:7">
      <c r="A8" s="184" t="s">
        <v>15</v>
      </c>
      <c r="B8" s="185"/>
      <c r="C8" s="185"/>
      <c r="D8" s="185"/>
      <c r="E8" s="185"/>
      <c r="F8" s="186"/>
      <c r="G8" s="17">
        <f>SUM(G5:G7)</f>
        <v>142142.79999999999</v>
      </c>
    </row>
  </sheetData>
  <mergeCells count="5">
    <mergeCell ref="C1:D1"/>
    <mergeCell ref="A5:F5"/>
    <mergeCell ref="A6:F6"/>
    <mergeCell ref="A7:F7"/>
    <mergeCell ref="A8:F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92D050"/>
  </sheetPr>
  <dimension ref="A1:G8"/>
  <sheetViews>
    <sheetView workbookViewId="0">
      <selection sqref="A1:G8"/>
    </sheetView>
  </sheetViews>
  <sheetFormatPr defaultColWidth="10.26953125" defaultRowHeight="14.5"/>
  <cols>
    <col min="1" max="1" width="8.54296875" style="50" customWidth="1"/>
    <col min="2" max="2" width="14.08984375" style="50" customWidth="1"/>
    <col min="3" max="3" width="7.08984375" style="50" customWidth="1"/>
    <col min="4" max="4" width="36.90625" style="50" customWidth="1"/>
    <col min="5" max="5" width="6.08984375" style="50" customWidth="1"/>
    <col min="6" max="6" width="10.81640625" style="50" customWidth="1"/>
    <col min="7" max="7" width="9.81640625" style="50" customWidth="1"/>
    <col min="8" max="16384" width="10.26953125" style="50"/>
  </cols>
  <sheetData>
    <row r="1" spans="1:7" ht="37.5" customHeight="1">
      <c r="A1" s="190" t="s">
        <v>0</v>
      </c>
      <c r="B1" s="191"/>
      <c r="C1" s="192">
        <v>102</v>
      </c>
      <c r="D1" s="192"/>
      <c r="E1" s="127" t="s">
        <v>1</v>
      </c>
      <c r="F1" s="128">
        <v>45661</v>
      </c>
    </row>
    <row r="2" spans="1:7">
      <c r="A2" s="129" t="s">
        <v>2</v>
      </c>
      <c r="B2" s="118" t="s">
        <v>3</v>
      </c>
      <c r="C2" s="118" t="s">
        <v>4</v>
      </c>
      <c r="D2" s="118" t="s">
        <v>5</v>
      </c>
      <c r="E2" s="118" t="s">
        <v>6</v>
      </c>
      <c r="F2" s="118" t="s">
        <v>7</v>
      </c>
      <c r="G2" s="130" t="s">
        <v>8</v>
      </c>
    </row>
    <row r="3" spans="1:7" ht="25">
      <c r="A3" s="131">
        <v>1</v>
      </c>
      <c r="B3" s="132" t="s">
        <v>16</v>
      </c>
      <c r="C3" s="133">
        <v>616026</v>
      </c>
      <c r="D3" s="30" t="s">
        <v>17</v>
      </c>
      <c r="E3" s="30">
        <v>10</v>
      </c>
      <c r="F3" s="56">
        <v>5614</v>
      </c>
      <c r="G3" s="134">
        <f>F3*E3</f>
        <v>56140</v>
      </c>
    </row>
    <row r="4" spans="1:7" ht="25">
      <c r="A4" s="30">
        <v>2</v>
      </c>
      <c r="B4" s="9" t="s">
        <v>18</v>
      </c>
      <c r="C4" s="133">
        <v>713141</v>
      </c>
      <c r="D4" s="30" t="s">
        <v>19</v>
      </c>
      <c r="E4" s="30">
        <v>2</v>
      </c>
      <c r="F4" s="57">
        <v>12900</v>
      </c>
      <c r="G4" s="134">
        <f>F4*E4</f>
        <v>25800</v>
      </c>
    </row>
    <row r="5" spans="1:7">
      <c r="A5" s="193" t="s">
        <v>8</v>
      </c>
      <c r="B5" s="194"/>
      <c r="C5" s="194"/>
      <c r="D5" s="194"/>
      <c r="E5" s="194"/>
      <c r="F5" s="195"/>
      <c r="G5" s="93">
        <f>SUM(G3:G4)</f>
        <v>81940</v>
      </c>
    </row>
    <row r="6" spans="1:7">
      <c r="A6" s="196" t="s">
        <v>13</v>
      </c>
      <c r="B6" s="197"/>
      <c r="C6" s="197"/>
      <c r="D6" s="197"/>
      <c r="E6" s="197"/>
      <c r="F6" s="198"/>
      <c r="G6" s="63">
        <f>G5*9%</f>
        <v>7374.6</v>
      </c>
    </row>
    <row r="7" spans="1:7">
      <c r="A7" s="199" t="s">
        <v>14</v>
      </c>
      <c r="B7" s="200"/>
      <c r="C7" s="200"/>
      <c r="D7" s="200"/>
      <c r="E7" s="200"/>
      <c r="F7" s="201"/>
      <c r="G7" s="64">
        <f>G6</f>
        <v>7374.6</v>
      </c>
    </row>
    <row r="8" spans="1:7">
      <c r="A8" s="187" t="s">
        <v>15</v>
      </c>
      <c r="B8" s="188"/>
      <c r="C8" s="188"/>
      <c r="D8" s="188"/>
      <c r="E8" s="188"/>
      <c r="F8" s="189"/>
      <c r="G8" s="65">
        <f>SUM(G5:G7)</f>
        <v>96689.2</v>
      </c>
    </row>
  </sheetData>
  <mergeCells count="6">
    <mergeCell ref="A8:F8"/>
    <mergeCell ref="A1:B1"/>
    <mergeCell ref="C1:D1"/>
    <mergeCell ref="A5:F5"/>
    <mergeCell ref="A6:F6"/>
    <mergeCell ref="A7:F7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92D050"/>
  </sheetPr>
  <dimension ref="A1:H9"/>
  <sheetViews>
    <sheetView workbookViewId="0">
      <selection activeCell="B3" sqref="B3"/>
    </sheetView>
  </sheetViews>
  <sheetFormatPr defaultColWidth="9" defaultRowHeight="14.5"/>
  <cols>
    <col min="2" max="2" width="22.6328125" style="50" customWidth="1"/>
    <col min="4" max="4" width="36.90625" customWidth="1"/>
    <col min="7" max="7" width="12.08984375" customWidth="1"/>
    <col min="8" max="8" width="11.1796875" customWidth="1"/>
  </cols>
  <sheetData>
    <row r="1" spans="1:8" ht="18.5">
      <c r="A1" s="203" t="s">
        <v>0</v>
      </c>
      <c r="B1" s="204"/>
      <c r="C1" s="174">
        <v>103</v>
      </c>
      <c r="D1" s="174"/>
      <c r="E1" s="3" t="s">
        <v>1</v>
      </c>
      <c r="F1" s="3"/>
      <c r="G1" s="121">
        <v>45934</v>
      </c>
      <c r="H1" s="1"/>
    </row>
    <row r="2" spans="1:8">
      <c r="A2" s="4" t="s">
        <v>2</v>
      </c>
      <c r="B2" s="5" t="s">
        <v>3</v>
      </c>
      <c r="C2" s="6" t="s">
        <v>4</v>
      </c>
      <c r="D2" s="6" t="s">
        <v>5</v>
      </c>
      <c r="E2" s="6" t="s">
        <v>6</v>
      </c>
      <c r="F2" s="6" t="s">
        <v>20</v>
      </c>
      <c r="G2" s="6" t="s">
        <v>7</v>
      </c>
      <c r="H2" s="7" t="s">
        <v>8</v>
      </c>
    </row>
    <row r="3" spans="1:8" ht="25">
      <c r="A3" s="112">
        <v>1</v>
      </c>
      <c r="B3" s="113" t="s">
        <v>21</v>
      </c>
      <c r="C3" s="8">
        <v>616026</v>
      </c>
      <c r="D3" s="8" t="s">
        <v>17</v>
      </c>
      <c r="E3" s="8">
        <v>30</v>
      </c>
      <c r="F3" s="8" t="s">
        <v>22</v>
      </c>
      <c r="G3" s="98">
        <v>5614</v>
      </c>
      <c r="H3" s="115">
        <f>G3*E3</f>
        <v>168420</v>
      </c>
    </row>
    <row r="4" spans="1:8" ht="25">
      <c r="A4" s="125">
        <v>2</v>
      </c>
      <c r="B4" s="113" t="s">
        <v>21</v>
      </c>
      <c r="C4" s="10">
        <v>615698</v>
      </c>
      <c r="D4" s="10" t="s">
        <v>10</v>
      </c>
      <c r="E4" s="10">
        <v>10</v>
      </c>
      <c r="F4" s="8" t="s">
        <v>22</v>
      </c>
      <c r="G4" s="126">
        <v>4831</v>
      </c>
      <c r="H4" s="115">
        <f t="shared" ref="H4:H5" si="0">G4*E4</f>
        <v>48310</v>
      </c>
    </row>
    <row r="5" spans="1:8" ht="25">
      <c r="A5" s="122">
        <v>3</v>
      </c>
      <c r="B5" s="123" t="s">
        <v>23</v>
      </c>
      <c r="C5" s="10">
        <v>780236</v>
      </c>
      <c r="D5" s="10" t="s">
        <v>24</v>
      </c>
      <c r="E5" s="10">
        <v>5</v>
      </c>
      <c r="F5" s="8" t="s">
        <v>22</v>
      </c>
      <c r="G5" s="12">
        <v>4160</v>
      </c>
      <c r="H5" s="115">
        <f t="shared" si="0"/>
        <v>20800</v>
      </c>
    </row>
    <row r="6" spans="1:8">
      <c r="A6" s="205" t="s">
        <v>8</v>
      </c>
      <c r="B6" s="206"/>
      <c r="C6" s="206"/>
      <c r="D6" s="206"/>
      <c r="E6" s="206"/>
      <c r="F6" s="207"/>
      <c r="G6" s="208"/>
      <c r="H6" s="116">
        <f>SUM(H3:H5)</f>
        <v>237530</v>
      </c>
    </row>
    <row r="7" spans="1:8">
      <c r="A7" s="178" t="s">
        <v>13</v>
      </c>
      <c r="B7" s="179"/>
      <c r="C7" s="179"/>
      <c r="D7" s="179"/>
      <c r="E7" s="179"/>
      <c r="F7" s="209"/>
      <c r="G7" s="180"/>
      <c r="H7" s="15">
        <f>H6*9%</f>
        <v>21377.7</v>
      </c>
    </row>
    <row r="8" spans="1:8">
      <c r="A8" s="181" t="s">
        <v>14</v>
      </c>
      <c r="B8" s="182"/>
      <c r="C8" s="182"/>
      <c r="D8" s="182"/>
      <c r="E8" s="182"/>
      <c r="F8" s="210"/>
      <c r="G8" s="183"/>
      <c r="H8" s="16">
        <f>H7</f>
        <v>21377.7</v>
      </c>
    </row>
    <row r="9" spans="1:8">
      <c r="A9" s="184" t="s">
        <v>15</v>
      </c>
      <c r="B9" s="185"/>
      <c r="C9" s="185"/>
      <c r="D9" s="185"/>
      <c r="E9" s="185"/>
      <c r="F9" s="202"/>
      <c r="G9" s="186"/>
      <c r="H9" s="17">
        <f>SUM(H6:H8)</f>
        <v>280285.40000000002</v>
      </c>
    </row>
  </sheetData>
  <mergeCells count="6">
    <mergeCell ref="A9:G9"/>
    <mergeCell ref="A1:B1"/>
    <mergeCell ref="C1:D1"/>
    <mergeCell ref="A6:G6"/>
    <mergeCell ref="A7:G7"/>
    <mergeCell ref="A8:G8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92D050"/>
  </sheetPr>
  <dimension ref="A1:G7"/>
  <sheetViews>
    <sheetView workbookViewId="0">
      <selection activeCell="H7" sqref="H7"/>
    </sheetView>
  </sheetViews>
  <sheetFormatPr defaultColWidth="9" defaultRowHeight="14.5"/>
  <cols>
    <col min="2" max="2" width="18.54296875" style="50" customWidth="1"/>
    <col min="3" max="3" width="7.36328125" customWidth="1"/>
    <col min="4" max="4" width="36.90625" customWidth="1"/>
    <col min="6" max="6" width="12.08984375" customWidth="1"/>
    <col min="7" max="7" width="10.1796875" customWidth="1"/>
  </cols>
  <sheetData>
    <row r="1" spans="1:7" ht="18.5">
      <c r="A1" s="203" t="s">
        <v>0</v>
      </c>
      <c r="B1" s="204"/>
      <c r="C1" s="174">
        <v>104</v>
      </c>
      <c r="D1" s="174"/>
      <c r="E1" s="3" t="s">
        <v>1</v>
      </c>
      <c r="F1" s="121">
        <v>45934</v>
      </c>
      <c r="G1" s="1"/>
    </row>
    <row r="2" spans="1:7">
      <c r="A2" s="117" t="s">
        <v>2</v>
      </c>
      <c r="B2" s="118" t="s">
        <v>3</v>
      </c>
      <c r="C2" s="6" t="s">
        <v>4</v>
      </c>
      <c r="D2" s="6" t="s">
        <v>5</v>
      </c>
      <c r="E2" s="6" t="s">
        <v>6</v>
      </c>
      <c r="F2" s="6" t="s">
        <v>7</v>
      </c>
      <c r="G2" s="7" t="s">
        <v>8</v>
      </c>
    </row>
    <row r="3" spans="1:7" ht="25">
      <c r="A3" s="8">
        <v>1</v>
      </c>
      <c r="B3" s="9" t="s">
        <v>25</v>
      </c>
      <c r="C3" s="124">
        <v>713141</v>
      </c>
      <c r="D3" s="8" t="s">
        <v>19</v>
      </c>
      <c r="E3" s="8">
        <v>2</v>
      </c>
      <c r="F3" s="12">
        <v>12900</v>
      </c>
      <c r="G3" s="115">
        <f>F3*E3</f>
        <v>25800</v>
      </c>
    </row>
    <row r="4" spans="1:7">
      <c r="A4" s="175" t="s">
        <v>8</v>
      </c>
      <c r="B4" s="176"/>
      <c r="C4" s="176"/>
      <c r="D4" s="176"/>
      <c r="E4" s="176"/>
      <c r="F4" s="177"/>
      <c r="G4" s="116">
        <f>SUM(G3:G3)</f>
        <v>25800</v>
      </c>
    </row>
    <row r="5" spans="1:7">
      <c r="A5" s="178" t="s">
        <v>13</v>
      </c>
      <c r="B5" s="179"/>
      <c r="C5" s="179"/>
      <c r="D5" s="179"/>
      <c r="E5" s="179"/>
      <c r="F5" s="180"/>
      <c r="G5" s="15">
        <f>G4*9%</f>
        <v>2322</v>
      </c>
    </row>
    <row r="6" spans="1:7">
      <c r="A6" s="181" t="s">
        <v>14</v>
      </c>
      <c r="B6" s="182"/>
      <c r="C6" s="182"/>
      <c r="D6" s="182"/>
      <c r="E6" s="182"/>
      <c r="F6" s="183"/>
      <c r="G6" s="16">
        <f>G5</f>
        <v>2322</v>
      </c>
    </row>
    <row r="7" spans="1:7">
      <c r="A7" s="184" t="s">
        <v>15</v>
      </c>
      <c r="B7" s="185"/>
      <c r="C7" s="185"/>
      <c r="D7" s="185"/>
      <c r="E7" s="185"/>
      <c r="F7" s="186"/>
      <c r="G7" s="17">
        <f>SUM(G4:G6)</f>
        <v>30444</v>
      </c>
    </row>
  </sheetData>
  <mergeCells count="6">
    <mergeCell ref="A7:F7"/>
    <mergeCell ref="A1:B1"/>
    <mergeCell ref="C1:D1"/>
    <mergeCell ref="A4:F4"/>
    <mergeCell ref="A5:F5"/>
    <mergeCell ref="A6:F6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92D050"/>
  </sheetPr>
  <dimension ref="A1:H7"/>
  <sheetViews>
    <sheetView workbookViewId="0">
      <selection sqref="A1:H8"/>
    </sheetView>
  </sheetViews>
  <sheetFormatPr defaultColWidth="9" defaultRowHeight="14.5"/>
  <cols>
    <col min="2" max="2" width="16.26953125" style="50" customWidth="1"/>
    <col min="4" max="4" width="36.90625" customWidth="1"/>
    <col min="7" max="7" width="12.08984375" customWidth="1"/>
    <col min="8" max="8" width="11.1796875" customWidth="1"/>
  </cols>
  <sheetData>
    <row r="1" spans="1:8" ht="18.5">
      <c r="A1" s="203" t="s">
        <v>0</v>
      </c>
      <c r="B1" s="204"/>
      <c r="C1" s="174">
        <v>105</v>
      </c>
      <c r="D1" s="174"/>
      <c r="E1" s="3" t="s">
        <v>1</v>
      </c>
      <c r="F1" s="3"/>
      <c r="G1" s="121">
        <v>45965</v>
      </c>
      <c r="H1" s="1"/>
    </row>
    <row r="2" spans="1:8">
      <c r="A2" s="4" t="s">
        <v>2</v>
      </c>
      <c r="B2" s="5" t="s">
        <v>3</v>
      </c>
      <c r="C2" s="6" t="s">
        <v>4</v>
      </c>
      <c r="D2" s="6" t="s">
        <v>5</v>
      </c>
      <c r="E2" s="6" t="s">
        <v>6</v>
      </c>
      <c r="F2" s="6" t="s">
        <v>20</v>
      </c>
      <c r="G2" s="6" t="s">
        <v>7</v>
      </c>
      <c r="H2" s="7" t="s">
        <v>8</v>
      </c>
    </row>
    <row r="3" spans="1:8" ht="25">
      <c r="A3" s="122">
        <v>1</v>
      </c>
      <c r="B3" s="123" t="s">
        <v>26</v>
      </c>
      <c r="C3" s="10">
        <v>635655</v>
      </c>
      <c r="D3" s="10" t="s">
        <v>27</v>
      </c>
      <c r="E3" s="10">
        <v>20</v>
      </c>
      <c r="F3" s="8" t="s">
        <v>28</v>
      </c>
      <c r="G3" s="12">
        <v>4726</v>
      </c>
      <c r="H3" s="115">
        <f t="shared" ref="H3" si="0">G3*E3</f>
        <v>94520</v>
      </c>
    </row>
    <row r="4" spans="1:8">
      <c r="A4" s="205" t="s">
        <v>8</v>
      </c>
      <c r="B4" s="206"/>
      <c r="C4" s="206"/>
      <c r="D4" s="206"/>
      <c r="E4" s="206"/>
      <c r="F4" s="207"/>
      <c r="G4" s="208"/>
      <c r="H4" s="116">
        <f>SUM(H3:H3)</f>
        <v>94520</v>
      </c>
    </row>
    <row r="5" spans="1:8">
      <c r="A5" s="178" t="s">
        <v>13</v>
      </c>
      <c r="B5" s="179"/>
      <c r="C5" s="179"/>
      <c r="D5" s="179"/>
      <c r="E5" s="179"/>
      <c r="F5" s="209"/>
      <c r="G5" s="180"/>
      <c r="H5" s="15">
        <f>H4*9%</f>
        <v>8506.7999999999993</v>
      </c>
    </row>
    <row r="6" spans="1:8">
      <c r="A6" s="181" t="s">
        <v>14</v>
      </c>
      <c r="B6" s="182"/>
      <c r="C6" s="182"/>
      <c r="D6" s="182"/>
      <c r="E6" s="182"/>
      <c r="F6" s="210"/>
      <c r="G6" s="183"/>
      <c r="H6" s="16">
        <f>H5</f>
        <v>8506.7999999999993</v>
      </c>
    </row>
    <row r="7" spans="1:8">
      <c r="A7" s="184" t="s">
        <v>15</v>
      </c>
      <c r="B7" s="185"/>
      <c r="C7" s="185"/>
      <c r="D7" s="185"/>
      <c r="E7" s="185"/>
      <c r="F7" s="202"/>
      <c r="G7" s="186"/>
      <c r="H7" s="17">
        <f>SUM(H4:H6)</f>
        <v>111533.6</v>
      </c>
    </row>
  </sheetData>
  <mergeCells count="6">
    <mergeCell ref="A7:G7"/>
    <mergeCell ref="A1:B1"/>
    <mergeCell ref="C1:D1"/>
    <mergeCell ref="A4:G4"/>
    <mergeCell ref="A5:G5"/>
    <mergeCell ref="A6:G6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92D050"/>
  </sheetPr>
  <dimension ref="A1:G8"/>
  <sheetViews>
    <sheetView workbookViewId="0">
      <selection activeCell="E4" sqref="E4"/>
    </sheetView>
  </sheetViews>
  <sheetFormatPr defaultColWidth="8.7265625" defaultRowHeight="14.5"/>
  <cols>
    <col min="1" max="1" width="5.36328125" style="1" customWidth="1"/>
    <col min="2" max="2" width="14.6328125" style="50" customWidth="1"/>
    <col min="3" max="3" width="8.7265625" style="1"/>
    <col min="4" max="4" width="36.90625" style="1" customWidth="1"/>
    <col min="5" max="5" width="6.08984375" style="1" customWidth="1"/>
    <col min="6" max="6" width="12.08984375" style="1" customWidth="1"/>
    <col min="7" max="7" width="11.1796875" style="1" customWidth="1"/>
    <col min="8" max="16384" width="8.7265625" style="1"/>
  </cols>
  <sheetData>
    <row r="1" spans="1:7" ht="18.5">
      <c r="A1" s="203" t="s">
        <v>0</v>
      </c>
      <c r="B1" s="204"/>
      <c r="C1" s="174">
        <v>106</v>
      </c>
      <c r="D1" s="174"/>
      <c r="E1" s="3" t="s">
        <v>1</v>
      </c>
      <c r="F1" t="s">
        <v>29</v>
      </c>
    </row>
    <row r="2" spans="1:7">
      <c r="A2" s="4" t="s">
        <v>2</v>
      </c>
      <c r="B2" s="5" t="s">
        <v>3</v>
      </c>
      <c r="C2" s="6" t="s">
        <v>4</v>
      </c>
      <c r="D2" s="6" t="s">
        <v>5</v>
      </c>
      <c r="E2" s="6" t="s">
        <v>6</v>
      </c>
      <c r="F2" s="6" t="s">
        <v>7</v>
      </c>
      <c r="G2" s="7" t="s">
        <v>8</v>
      </c>
    </row>
    <row r="3" spans="1:7" ht="25">
      <c r="A3" s="119">
        <v>1</v>
      </c>
      <c r="B3" s="113" t="s">
        <v>21</v>
      </c>
      <c r="C3" s="8">
        <v>616026</v>
      </c>
      <c r="D3" s="8" t="s">
        <v>17</v>
      </c>
      <c r="E3" s="8">
        <v>20</v>
      </c>
      <c r="F3" s="98">
        <v>5614</v>
      </c>
      <c r="G3" s="115">
        <f>F3*E3</f>
        <v>112280</v>
      </c>
    </row>
    <row r="4" spans="1:7" ht="25">
      <c r="A4" s="120">
        <v>2</v>
      </c>
      <c r="B4" s="113" t="s">
        <v>30</v>
      </c>
      <c r="C4" s="10">
        <v>616039</v>
      </c>
      <c r="D4" s="10" t="s">
        <v>31</v>
      </c>
      <c r="E4" s="10">
        <v>12</v>
      </c>
      <c r="F4" s="12">
        <v>6521</v>
      </c>
      <c r="G4" s="115">
        <f>F4*E4</f>
        <v>78252</v>
      </c>
    </row>
    <row r="5" spans="1:7">
      <c r="A5" s="205" t="s">
        <v>8</v>
      </c>
      <c r="B5" s="206"/>
      <c r="C5" s="206"/>
      <c r="D5" s="206"/>
      <c r="E5" s="206"/>
      <c r="F5" s="208"/>
      <c r="G5" s="116">
        <f>SUM(G3:G4)</f>
        <v>190532</v>
      </c>
    </row>
    <row r="6" spans="1:7">
      <c r="A6" s="178" t="s">
        <v>13</v>
      </c>
      <c r="B6" s="179"/>
      <c r="C6" s="179"/>
      <c r="D6" s="179"/>
      <c r="E6" s="179"/>
      <c r="F6" s="180"/>
      <c r="G6" s="15">
        <f>G5*9%</f>
        <v>17147.88</v>
      </c>
    </row>
    <row r="7" spans="1:7">
      <c r="A7" s="181" t="s">
        <v>14</v>
      </c>
      <c r="B7" s="182"/>
      <c r="C7" s="182"/>
      <c r="D7" s="182"/>
      <c r="E7" s="182"/>
      <c r="F7" s="183"/>
      <c r="G7" s="16">
        <f>G6</f>
        <v>17147.88</v>
      </c>
    </row>
    <row r="8" spans="1:7">
      <c r="A8" s="184" t="s">
        <v>15</v>
      </c>
      <c r="B8" s="185"/>
      <c r="C8" s="185"/>
      <c r="D8" s="185"/>
      <c r="E8" s="185"/>
      <c r="F8" s="186"/>
      <c r="G8" s="17">
        <f>SUM(G5:G7)</f>
        <v>224827.76</v>
      </c>
    </row>
  </sheetData>
  <mergeCells count="6">
    <mergeCell ref="A8:F8"/>
    <mergeCell ref="A1:B1"/>
    <mergeCell ref="C1:D1"/>
    <mergeCell ref="A5:F5"/>
    <mergeCell ref="A6:F6"/>
    <mergeCell ref="A7:F7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92D050"/>
  </sheetPr>
  <dimension ref="A1:G7"/>
  <sheetViews>
    <sheetView workbookViewId="0">
      <selection activeCell="E3" sqref="E3"/>
    </sheetView>
  </sheetViews>
  <sheetFormatPr defaultColWidth="9" defaultRowHeight="14.5"/>
  <cols>
    <col min="1" max="1" width="5.36328125" customWidth="1"/>
    <col min="2" max="2" width="14.26953125" style="50" customWidth="1"/>
    <col min="3" max="3" width="7.08984375" customWidth="1"/>
    <col min="4" max="4" width="37.6328125" customWidth="1"/>
    <col min="5" max="5" width="6.08984375" customWidth="1"/>
    <col min="6" max="6" width="12.08984375" customWidth="1"/>
    <col min="7" max="7" width="10.1796875" customWidth="1"/>
  </cols>
  <sheetData>
    <row r="1" spans="1:7" ht="18.5">
      <c r="A1" s="203" t="s">
        <v>0</v>
      </c>
      <c r="B1" s="204"/>
      <c r="C1" s="174">
        <v>107</v>
      </c>
      <c r="D1" s="174"/>
      <c r="E1" s="3" t="s">
        <v>1</v>
      </c>
      <c r="F1" t="s">
        <v>29</v>
      </c>
      <c r="G1" s="1"/>
    </row>
    <row r="2" spans="1:7">
      <c r="A2" s="117" t="s">
        <v>2</v>
      </c>
      <c r="B2" s="118" t="s">
        <v>3</v>
      </c>
      <c r="C2" s="6" t="s">
        <v>4</v>
      </c>
      <c r="D2" s="6" t="s">
        <v>5</v>
      </c>
      <c r="E2" s="6" t="s">
        <v>6</v>
      </c>
      <c r="F2" s="6" t="s">
        <v>7</v>
      </c>
      <c r="G2" s="7" t="s">
        <v>8</v>
      </c>
    </row>
    <row r="3" spans="1:7" s="48" customFormat="1" ht="25">
      <c r="A3" s="10">
        <v>1</v>
      </c>
      <c r="B3" s="55" t="s">
        <v>32</v>
      </c>
      <c r="C3" s="10">
        <v>616039</v>
      </c>
      <c r="D3" s="10" t="s">
        <v>31</v>
      </c>
      <c r="E3" s="10">
        <v>1</v>
      </c>
      <c r="F3" s="57">
        <v>6521</v>
      </c>
      <c r="G3" s="115">
        <f>F3*E3</f>
        <v>6521</v>
      </c>
    </row>
    <row r="4" spans="1:7">
      <c r="A4" s="175" t="s">
        <v>8</v>
      </c>
      <c r="B4" s="176"/>
      <c r="C4" s="176"/>
      <c r="D4" s="176"/>
      <c r="E4" s="176"/>
      <c r="F4" s="177"/>
      <c r="G4" s="116">
        <f>SUM(G3:G3)</f>
        <v>6521</v>
      </c>
    </row>
    <row r="5" spans="1:7">
      <c r="A5" s="178" t="s">
        <v>13</v>
      </c>
      <c r="B5" s="179"/>
      <c r="C5" s="179"/>
      <c r="D5" s="179"/>
      <c r="E5" s="179"/>
      <c r="F5" s="180"/>
      <c r="G5" s="15">
        <f>G4*9%</f>
        <v>586.89</v>
      </c>
    </row>
    <row r="6" spans="1:7">
      <c r="A6" s="181" t="s">
        <v>14</v>
      </c>
      <c r="B6" s="182"/>
      <c r="C6" s="182"/>
      <c r="D6" s="182"/>
      <c r="E6" s="182"/>
      <c r="F6" s="183"/>
      <c r="G6" s="16">
        <f>G5</f>
        <v>586.89</v>
      </c>
    </row>
    <row r="7" spans="1:7">
      <c r="A7" s="184" t="s">
        <v>15</v>
      </c>
      <c r="B7" s="185"/>
      <c r="C7" s="185"/>
      <c r="D7" s="185"/>
      <c r="E7" s="185"/>
      <c r="F7" s="186"/>
      <c r="G7" s="17">
        <f>SUM(G4:G6)</f>
        <v>7694.78</v>
      </c>
    </row>
  </sheetData>
  <mergeCells count="6">
    <mergeCell ref="A7:F7"/>
    <mergeCell ref="A1:B1"/>
    <mergeCell ref="C1:D1"/>
    <mergeCell ref="A4:F4"/>
    <mergeCell ref="A5:F5"/>
    <mergeCell ref="A6:F6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92D050"/>
  </sheetPr>
  <dimension ref="A1:G7"/>
  <sheetViews>
    <sheetView workbookViewId="0">
      <selection activeCell="F1" sqref="F1"/>
    </sheetView>
  </sheetViews>
  <sheetFormatPr defaultColWidth="9" defaultRowHeight="14.5"/>
  <cols>
    <col min="2" max="2" width="14.90625" style="50" customWidth="1"/>
    <col min="3" max="3" width="7.08984375" customWidth="1"/>
    <col min="4" max="4" width="29.36328125" customWidth="1"/>
    <col min="5" max="5" width="6.08984375" customWidth="1"/>
    <col min="6" max="6" width="10.453125" customWidth="1"/>
    <col min="7" max="7" width="15" customWidth="1"/>
  </cols>
  <sheetData>
    <row r="1" spans="1:7" ht="18.5">
      <c r="A1" s="203" t="s">
        <v>0</v>
      </c>
      <c r="B1" s="204"/>
      <c r="C1" s="174">
        <v>108</v>
      </c>
      <c r="D1" s="174"/>
      <c r="E1" s="3" t="s">
        <v>1</v>
      </c>
      <c r="F1" t="s">
        <v>33</v>
      </c>
      <c r="G1" s="1"/>
    </row>
    <row r="2" spans="1:7">
      <c r="A2" s="4" t="s">
        <v>2</v>
      </c>
      <c r="B2" s="5" t="s">
        <v>3</v>
      </c>
      <c r="C2" s="6" t="s">
        <v>4</v>
      </c>
      <c r="D2" s="6" t="s">
        <v>5</v>
      </c>
      <c r="E2" s="6" t="s">
        <v>6</v>
      </c>
      <c r="F2" s="6" t="s">
        <v>7</v>
      </c>
      <c r="G2" s="7" t="s">
        <v>8</v>
      </c>
    </row>
    <row r="3" spans="1:7" s="1" customFormat="1" ht="25">
      <c r="A3" s="112">
        <v>1</v>
      </c>
      <c r="B3" s="113" t="s">
        <v>34</v>
      </c>
      <c r="C3" s="10">
        <v>724214</v>
      </c>
      <c r="D3" s="114" t="s">
        <v>35</v>
      </c>
      <c r="E3" s="10">
        <v>2</v>
      </c>
      <c r="F3" s="12">
        <v>2490</v>
      </c>
      <c r="G3" s="115">
        <f>F3*E3</f>
        <v>4980</v>
      </c>
    </row>
    <row r="4" spans="1:7">
      <c r="A4" s="205" t="s">
        <v>8</v>
      </c>
      <c r="B4" s="206"/>
      <c r="C4" s="206"/>
      <c r="D4" s="206"/>
      <c r="E4" s="206"/>
      <c r="F4" s="208"/>
      <c r="G4" s="116">
        <f>SUM(G3:G3)</f>
        <v>4980</v>
      </c>
    </row>
    <row r="5" spans="1:7">
      <c r="A5" s="178" t="s">
        <v>13</v>
      </c>
      <c r="B5" s="179"/>
      <c r="C5" s="179"/>
      <c r="D5" s="179"/>
      <c r="E5" s="179"/>
      <c r="F5" s="180"/>
      <c r="G5" s="15">
        <f>G4*9%</f>
        <v>448.2</v>
      </c>
    </row>
    <row r="6" spans="1:7">
      <c r="A6" s="181" t="s">
        <v>14</v>
      </c>
      <c r="B6" s="182"/>
      <c r="C6" s="182"/>
      <c r="D6" s="182"/>
      <c r="E6" s="182"/>
      <c r="F6" s="183"/>
      <c r="G6" s="16">
        <f>G5</f>
        <v>448.2</v>
      </c>
    </row>
    <row r="7" spans="1:7">
      <c r="A7" s="184" t="s">
        <v>15</v>
      </c>
      <c r="B7" s="185"/>
      <c r="C7" s="185"/>
      <c r="D7" s="185"/>
      <c r="E7" s="185"/>
      <c r="F7" s="186"/>
      <c r="G7" s="17">
        <f>SUM(G4:G6)</f>
        <v>5876.4</v>
      </c>
    </row>
  </sheetData>
  <mergeCells count="6">
    <mergeCell ref="A7:F7"/>
    <mergeCell ref="A1:B1"/>
    <mergeCell ref="C1:D1"/>
    <mergeCell ref="A4:F4"/>
    <mergeCell ref="A5:F5"/>
    <mergeCell ref="A6:F6"/>
  </mergeCells>
  <pageMargins left="0.7" right="0.7" top="0.75" bottom="0.75" header="0.3" footer="0.3"/>
  <pageSetup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92D050"/>
  </sheetPr>
  <dimension ref="A1:I14"/>
  <sheetViews>
    <sheetView workbookViewId="0">
      <selection activeCell="H4" sqref="H4"/>
    </sheetView>
  </sheetViews>
  <sheetFormatPr defaultColWidth="9" defaultRowHeight="14.5"/>
  <cols>
    <col min="2" max="2" width="19.26953125" style="50" customWidth="1"/>
    <col min="3" max="3" width="8.7265625" style="100"/>
    <col min="4" max="4" width="37.6328125" style="101" customWidth="1"/>
    <col min="5" max="5" width="8.7265625" style="100"/>
    <col min="6" max="6" width="10.453125" customWidth="1"/>
    <col min="7" max="7" width="11.1796875" customWidth="1"/>
    <col min="8" max="8" width="26" customWidth="1"/>
  </cols>
  <sheetData>
    <row r="1" spans="1:9" ht="18.5">
      <c r="A1" s="203" t="s">
        <v>0</v>
      </c>
      <c r="B1" s="204"/>
      <c r="C1" s="174">
        <v>109</v>
      </c>
      <c r="D1" s="174"/>
      <c r="E1" s="37" t="s">
        <v>1</v>
      </c>
      <c r="F1" s="38">
        <v>45905</v>
      </c>
      <c r="G1" s="1"/>
    </row>
    <row r="2" spans="1:9">
      <c r="A2" s="20" t="s">
        <v>2</v>
      </c>
      <c r="B2" s="39" t="s">
        <v>3</v>
      </c>
      <c r="C2" s="22" t="s">
        <v>4</v>
      </c>
      <c r="D2" s="21" t="s">
        <v>5</v>
      </c>
      <c r="E2" s="22" t="s">
        <v>6</v>
      </c>
      <c r="F2" s="22" t="s">
        <v>7</v>
      </c>
      <c r="G2" s="23" t="s">
        <v>8</v>
      </c>
    </row>
    <row r="3" spans="1:9" s="99" customFormat="1" ht="50">
      <c r="A3" s="24">
        <v>1</v>
      </c>
      <c r="B3" s="40" t="s">
        <v>36</v>
      </c>
      <c r="C3" s="72">
        <v>616039</v>
      </c>
      <c r="D3" s="102" t="s">
        <v>31</v>
      </c>
      <c r="E3" s="72">
        <v>4</v>
      </c>
      <c r="F3" s="27">
        <v>6521</v>
      </c>
      <c r="G3" s="28">
        <f>F3*E3</f>
        <v>26084</v>
      </c>
      <c r="H3" s="103" t="s">
        <v>37</v>
      </c>
      <c r="I3" s="111">
        <v>3</v>
      </c>
    </row>
    <row r="4" spans="1:9" s="99" customFormat="1" ht="29">
      <c r="A4" s="29">
        <v>2</v>
      </c>
      <c r="B4" s="9" t="s">
        <v>38</v>
      </c>
      <c r="C4" s="8">
        <v>630059</v>
      </c>
      <c r="D4" s="30" t="s">
        <v>39</v>
      </c>
      <c r="E4" s="8">
        <v>11</v>
      </c>
      <c r="F4" s="57">
        <v>4048</v>
      </c>
      <c r="G4" s="28">
        <f t="shared" ref="G4:G10" si="0">F4*E4</f>
        <v>44528</v>
      </c>
      <c r="H4" s="103" t="s">
        <v>38</v>
      </c>
      <c r="I4" s="111">
        <v>1</v>
      </c>
    </row>
    <row r="5" spans="1:9" ht="25">
      <c r="A5" s="29">
        <v>3</v>
      </c>
      <c r="B5" s="9" t="s">
        <v>38</v>
      </c>
      <c r="C5" s="8">
        <v>616026</v>
      </c>
      <c r="D5" s="30" t="s">
        <v>17</v>
      </c>
      <c r="E5" s="8">
        <v>1</v>
      </c>
      <c r="F5" s="98">
        <v>5614</v>
      </c>
      <c r="G5" s="28">
        <f t="shared" si="0"/>
        <v>5614</v>
      </c>
    </row>
    <row r="6" spans="1:9" ht="25">
      <c r="A6" s="29">
        <v>4</v>
      </c>
      <c r="B6" s="9" t="s">
        <v>38</v>
      </c>
      <c r="C6" s="104">
        <v>716334</v>
      </c>
      <c r="D6" s="105" t="s">
        <v>40</v>
      </c>
      <c r="E6" s="8">
        <v>24</v>
      </c>
      <c r="F6" s="56">
        <v>4995</v>
      </c>
      <c r="G6" s="28">
        <f t="shared" si="0"/>
        <v>119880</v>
      </c>
    </row>
    <row r="7" spans="1:9" ht="25">
      <c r="A7" s="29">
        <v>5</v>
      </c>
      <c r="B7" s="9" t="s">
        <v>38</v>
      </c>
      <c r="C7" s="104">
        <v>695947</v>
      </c>
      <c r="D7" s="105" t="s">
        <v>41</v>
      </c>
      <c r="E7" s="8">
        <v>120</v>
      </c>
      <c r="F7" s="56">
        <v>565</v>
      </c>
      <c r="G7" s="28">
        <f t="shared" si="0"/>
        <v>67800</v>
      </c>
    </row>
    <row r="8" spans="1:9" ht="25">
      <c r="A8" s="29">
        <v>6</v>
      </c>
      <c r="B8" s="9" t="s">
        <v>38</v>
      </c>
      <c r="C8" s="104">
        <v>687254</v>
      </c>
      <c r="D8" s="105" t="s">
        <v>42</v>
      </c>
      <c r="E8" s="8">
        <v>34</v>
      </c>
      <c r="F8" s="56">
        <v>1908</v>
      </c>
      <c r="G8" s="28">
        <f t="shared" si="0"/>
        <v>64872</v>
      </c>
    </row>
    <row r="9" spans="1:9" ht="25">
      <c r="A9" s="29">
        <v>7</v>
      </c>
      <c r="B9" s="9" t="s">
        <v>43</v>
      </c>
      <c r="C9" s="10">
        <v>724214</v>
      </c>
      <c r="D9" s="105" t="s">
        <v>35</v>
      </c>
      <c r="E9" s="10">
        <v>2</v>
      </c>
      <c r="F9" s="12">
        <v>2490</v>
      </c>
      <c r="G9" s="28">
        <f t="shared" si="0"/>
        <v>4980</v>
      </c>
    </row>
    <row r="10" spans="1:9" ht="26">
      <c r="A10" s="106">
        <v>8</v>
      </c>
      <c r="B10" s="107" t="s">
        <v>44</v>
      </c>
      <c r="C10" s="90">
        <v>681149</v>
      </c>
      <c r="D10" s="108" t="s">
        <v>45</v>
      </c>
      <c r="E10" s="90">
        <v>1</v>
      </c>
      <c r="F10" s="109">
        <v>9703</v>
      </c>
      <c r="G10" s="110">
        <f t="shared" si="0"/>
        <v>9703</v>
      </c>
    </row>
    <row r="11" spans="1:9">
      <c r="A11" s="205" t="s">
        <v>8</v>
      </c>
      <c r="B11" s="206"/>
      <c r="C11" s="206"/>
      <c r="D11" s="206"/>
      <c r="E11" s="206"/>
      <c r="F11" s="208"/>
      <c r="G11" s="36">
        <f>SUM(G3:G10)</f>
        <v>343461</v>
      </c>
    </row>
    <row r="12" spans="1:9">
      <c r="A12" s="178" t="s">
        <v>13</v>
      </c>
      <c r="B12" s="179"/>
      <c r="C12" s="179"/>
      <c r="D12" s="179"/>
      <c r="E12" s="179"/>
      <c r="F12" s="180"/>
      <c r="G12" s="15">
        <f>G11*9%</f>
        <v>30911.49</v>
      </c>
    </row>
    <row r="13" spans="1:9">
      <c r="A13" s="181" t="s">
        <v>14</v>
      </c>
      <c r="B13" s="182"/>
      <c r="C13" s="182"/>
      <c r="D13" s="182"/>
      <c r="E13" s="182"/>
      <c r="F13" s="183"/>
      <c r="G13" s="16">
        <f>G12</f>
        <v>30911.49</v>
      </c>
    </row>
    <row r="14" spans="1:9">
      <c r="A14" s="184" t="s">
        <v>15</v>
      </c>
      <c r="B14" s="185"/>
      <c r="C14" s="185"/>
      <c r="D14" s="185"/>
      <c r="E14" s="185"/>
      <c r="F14" s="186"/>
      <c r="G14" s="17">
        <f>SUM(G11:G13)</f>
        <v>405283.98</v>
      </c>
    </row>
  </sheetData>
  <mergeCells count="6">
    <mergeCell ref="A14:F14"/>
    <mergeCell ref="A1:B1"/>
    <mergeCell ref="C1:D1"/>
    <mergeCell ref="A11:F11"/>
    <mergeCell ref="A12:F12"/>
    <mergeCell ref="A13:F13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92D050"/>
  </sheetPr>
  <dimension ref="A1:G10"/>
  <sheetViews>
    <sheetView workbookViewId="0">
      <selection activeCell="E5" sqref="E5"/>
    </sheetView>
  </sheetViews>
  <sheetFormatPr defaultColWidth="9" defaultRowHeight="14.5"/>
  <cols>
    <col min="1" max="1" width="5.36328125" customWidth="1"/>
    <col min="2" max="2" width="17.81640625" style="50" customWidth="1"/>
    <col min="4" max="4" width="39" customWidth="1"/>
    <col min="6" max="6" width="9.08984375" customWidth="1"/>
    <col min="7" max="7" width="11.1796875" customWidth="1"/>
    <col min="8" max="8" width="10.81640625" customWidth="1"/>
  </cols>
  <sheetData>
    <row r="1" spans="1:7" ht="18.5">
      <c r="A1" s="203" t="s">
        <v>0</v>
      </c>
      <c r="B1" s="204"/>
      <c r="C1" s="174">
        <v>110</v>
      </c>
      <c r="D1" s="174"/>
      <c r="E1" s="37" t="s">
        <v>1</v>
      </c>
      <c r="F1" s="38" t="s">
        <v>46</v>
      </c>
      <c r="G1" s="1"/>
    </row>
    <row r="2" spans="1:7">
      <c r="A2" s="20" t="s">
        <v>2</v>
      </c>
      <c r="B2" s="39" t="s">
        <v>3</v>
      </c>
      <c r="C2" s="22" t="s">
        <v>4</v>
      </c>
      <c r="D2" s="22" t="s">
        <v>5</v>
      </c>
      <c r="E2" s="22" t="s">
        <v>6</v>
      </c>
      <c r="F2" s="22" t="s">
        <v>7</v>
      </c>
      <c r="G2" s="23" t="s">
        <v>8</v>
      </c>
    </row>
    <row r="3" spans="1:7" ht="25">
      <c r="A3" s="24">
        <v>1</v>
      </c>
      <c r="B3" s="40" t="s">
        <v>38</v>
      </c>
      <c r="C3" s="26">
        <v>716663</v>
      </c>
      <c r="D3" s="26" t="s">
        <v>47</v>
      </c>
      <c r="E3" s="72">
        <v>10</v>
      </c>
      <c r="F3" s="97">
        <v>1896</v>
      </c>
      <c r="G3" s="28">
        <f>F3*E3</f>
        <v>18960</v>
      </c>
    </row>
    <row r="4" spans="1:7" ht="25">
      <c r="A4" s="29">
        <v>2</v>
      </c>
      <c r="B4" s="9" t="s">
        <v>38</v>
      </c>
      <c r="C4" s="8">
        <v>630059</v>
      </c>
      <c r="D4" s="8" t="s">
        <v>39</v>
      </c>
      <c r="E4" s="8">
        <v>9</v>
      </c>
      <c r="F4" s="12">
        <v>4048</v>
      </c>
      <c r="G4" s="73">
        <f t="shared" ref="G4:G6" si="0">F4*E4</f>
        <v>36432</v>
      </c>
    </row>
    <row r="5" spans="1:7" ht="25">
      <c r="A5" s="29">
        <v>3</v>
      </c>
      <c r="B5" s="9" t="s">
        <v>38</v>
      </c>
      <c r="C5" s="10">
        <v>616039</v>
      </c>
      <c r="D5" s="10" t="s">
        <v>31</v>
      </c>
      <c r="E5" s="10">
        <v>8</v>
      </c>
      <c r="F5" s="12">
        <v>6521</v>
      </c>
      <c r="G5" s="73">
        <f t="shared" si="0"/>
        <v>52168</v>
      </c>
    </row>
    <row r="6" spans="1:7" ht="25">
      <c r="A6" s="29">
        <v>4</v>
      </c>
      <c r="B6" s="9" t="s">
        <v>38</v>
      </c>
      <c r="C6" s="8">
        <v>616026</v>
      </c>
      <c r="D6" s="8" t="s">
        <v>17</v>
      </c>
      <c r="E6" s="8">
        <v>14</v>
      </c>
      <c r="F6" s="98">
        <v>5614</v>
      </c>
      <c r="G6" s="73">
        <f t="shared" si="0"/>
        <v>78596</v>
      </c>
    </row>
    <row r="7" spans="1:7">
      <c r="A7" s="211" t="s">
        <v>8</v>
      </c>
      <c r="B7" s="212"/>
      <c r="C7" s="212"/>
      <c r="D7" s="212"/>
      <c r="E7" s="212"/>
      <c r="F7" s="213"/>
      <c r="G7" s="36">
        <f>SUM(G3:G6)</f>
        <v>186156</v>
      </c>
    </row>
    <row r="8" spans="1:7">
      <c r="A8" s="178" t="s">
        <v>13</v>
      </c>
      <c r="B8" s="179"/>
      <c r="C8" s="179"/>
      <c r="D8" s="179"/>
      <c r="E8" s="179"/>
      <c r="F8" s="180"/>
      <c r="G8" s="15">
        <f>G7*9%</f>
        <v>16754.04</v>
      </c>
    </row>
    <row r="9" spans="1:7">
      <c r="A9" s="181" t="s">
        <v>14</v>
      </c>
      <c r="B9" s="182"/>
      <c r="C9" s="182"/>
      <c r="D9" s="182"/>
      <c r="E9" s="182"/>
      <c r="F9" s="183"/>
      <c r="G9" s="16">
        <f>G8</f>
        <v>16754.04</v>
      </c>
    </row>
    <row r="10" spans="1:7">
      <c r="A10" s="184" t="s">
        <v>15</v>
      </c>
      <c r="B10" s="185"/>
      <c r="C10" s="185"/>
      <c r="D10" s="185"/>
      <c r="E10" s="185"/>
      <c r="F10" s="186"/>
      <c r="G10" s="17">
        <f>SUM(G7:G9)</f>
        <v>219664.08</v>
      </c>
    </row>
  </sheetData>
  <mergeCells count="6">
    <mergeCell ref="A10:F10"/>
    <mergeCell ref="A1:B1"/>
    <mergeCell ref="C1:D1"/>
    <mergeCell ref="A7:F7"/>
    <mergeCell ref="A8:F8"/>
    <mergeCell ref="A9:F9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92D050"/>
  </sheetPr>
  <dimension ref="A1:G7"/>
  <sheetViews>
    <sheetView workbookViewId="0">
      <selection activeCell="G7" sqref="G7"/>
    </sheetView>
  </sheetViews>
  <sheetFormatPr defaultColWidth="9" defaultRowHeight="14.5"/>
  <cols>
    <col min="2" max="2" width="17.7265625" style="50" customWidth="1"/>
    <col min="4" max="4" width="31.26953125" customWidth="1"/>
    <col min="7" max="7" width="11.1796875" customWidth="1"/>
  </cols>
  <sheetData>
    <row r="1" spans="1:7" ht="18.5">
      <c r="A1" s="203" t="s">
        <v>0</v>
      </c>
      <c r="B1" s="204"/>
      <c r="C1" s="174">
        <v>111</v>
      </c>
      <c r="D1" s="174"/>
      <c r="E1" s="37" t="s">
        <v>1</v>
      </c>
      <c r="F1" s="38" t="s">
        <v>46</v>
      </c>
      <c r="G1" s="1"/>
    </row>
    <row r="2" spans="1:7">
      <c r="A2" s="20" t="s">
        <v>2</v>
      </c>
      <c r="B2" s="39" t="s">
        <v>3</v>
      </c>
      <c r="C2" s="22" t="s">
        <v>4</v>
      </c>
      <c r="D2" s="22" t="s">
        <v>5</v>
      </c>
      <c r="E2" s="22" t="s">
        <v>6</v>
      </c>
      <c r="F2" s="22" t="s">
        <v>7</v>
      </c>
      <c r="G2" s="23" t="s">
        <v>8</v>
      </c>
    </row>
    <row r="3" spans="1:7" ht="25">
      <c r="A3" s="74">
        <v>1</v>
      </c>
      <c r="B3" s="75" t="s">
        <v>38</v>
      </c>
      <c r="C3" s="76">
        <v>635656</v>
      </c>
      <c r="D3" s="76" t="s">
        <v>48</v>
      </c>
      <c r="E3" s="76">
        <v>30</v>
      </c>
      <c r="F3" s="96">
        <v>2818</v>
      </c>
      <c r="G3" s="45">
        <f t="shared" ref="G3" si="0">F3*E3</f>
        <v>84540</v>
      </c>
    </row>
    <row r="4" spans="1:7">
      <c r="A4" s="211" t="s">
        <v>8</v>
      </c>
      <c r="B4" s="212"/>
      <c r="C4" s="212"/>
      <c r="D4" s="212"/>
      <c r="E4" s="212"/>
      <c r="F4" s="213"/>
      <c r="G4" s="36">
        <f>SUM(G3)</f>
        <v>84540</v>
      </c>
    </row>
    <row r="5" spans="1:7">
      <c r="A5" s="178" t="s">
        <v>13</v>
      </c>
      <c r="B5" s="179"/>
      <c r="C5" s="179"/>
      <c r="D5" s="179"/>
      <c r="E5" s="179"/>
      <c r="F5" s="180"/>
      <c r="G5" s="15">
        <f>G4*9%</f>
        <v>7608.6</v>
      </c>
    </row>
    <row r="6" spans="1:7">
      <c r="A6" s="181" t="s">
        <v>14</v>
      </c>
      <c r="B6" s="182"/>
      <c r="C6" s="182"/>
      <c r="D6" s="182"/>
      <c r="E6" s="182"/>
      <c r="F6" s="183"/>
      <c r="G6" s="16">
        <f>G5</f>
        <v>7608.6</v>
      </c>
    </row>
    <row r="7" spans="1:7">
      <c r="A7" s="184" t="s">
        <v>15</v>
      </c>
      <c r="B7" s="185"/>
      <c r="C7" s="185"/>
      <c r="D7" s="185"/>
      <c r="E7" s="185"/>
      <c r="F7" s="186"/>
      <c r="G7" s="17">
        <f>SUM(G4:G6)</f>
        <v>99757.2</v>
      </c>
    </row>
  </sheetData>
  <mergeCells count="6">
    <mergeCell ref="A7:F7"/>
    <mergeCell ref="A1:B1"/>
    <mergeCell ref="C1:D1"/>
    <mergeCell ref="A4:F4"/>
    <mergeCell ref="A5:F5"/>
    <mergeCell ref="A6:F6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92D050"/>
  </sheetPr>
  <dimension ref="A1:I11"/>
  <sheetViews>
    <sheetView workbookViewId="0">
      <selection activeCell="F1" sqref="F1"/>
    </sheetView>
  </sheetViews>
  <sheetFormatPr defaultColWidth="8.7265625" defaultRowHeight="14.5"/>
  <cols>
    <col min="1" max="1" width="8.7265625" style="50"/>
    <col min="2" max="2" width="22.1796875" style="50" customWidth="1"/>
    <col min="3" max="3" width="8.7265625" style="50"/>
    <col min="4" max="4" width="39" style="50" customWidth="1"/>
    <col min="5" max="5" width="8.7265625" style="50"/>
    <col min="6" max="6" width="9.453125" style="50" customWidth="1"/>
    <col min="7" max="7" width="11.1796875" style="50" customWidth="1"/>
    <col min="8" max="8" width="24.54296875" style="50" customWidth="1"/>
    <col min="9" max="9" width="6.90625" style="50" customWidth="1"/>
    <col min="10" max="10" width="20.81640625" style="50" customWidth="1"/>
    <col min="11" max="16384" width="8.7265625" style="50"/>
  </cols>
  <sheetData>
    <row r="1" spans="1:9" ht="18.5">
      <c r="A1" s="190" t="s">
        <v>0</v>
      </c>
      <c r="B1" s="191"/>
      <c r="C1" s="192">
        <v>112</v>
      </c>
      <c r="D1" s="192"/>
      <c r="E1" s="51" t="s">
        <v>1</v>
      </c>
      <c r="F1" s="170">
        <v>45967</v>
      </c>
    </row>
    <row r="2" spans="1:9">
      <c r="A2" s="53" t="s">
        <v>2</v>
      </c>
      <c r="B2" s="39" t="s">
        <v>3</v>
      </c>
      <c r="C2" s="21" t="s">
        <v>4</v>
      </c>
      <c r="D2" s="21" t="s">
        <v>5</v>
      </c>
      <c r="E2" s="21" t="s">
        <v>6</v>
      </c>
      <c r="F2" s="21" t="s">
        <v>7</v>
      </c>
      <c r="G2" s="54" t="s">
        <v>8</v>
      </c>
    </row>
    <row r="3" spans="1:9" ht="25">
      <c r="A3" s="31">
        <v>1</v>
      </c>
      <c r="B3" s="9" t="s">
        <v>49</v>
      </c>
      <c r="C3" s="58">
        <v>616039</v>
      </c>
      <c r="D3" s="58" t="s">
        <v>31</v>
      </c>
      <c r="E3" s="58">
        <f>4+12</f>
        <v>16</v>
      </c>
      <c r="F3" s="57">
        <v>6521</v>
      </c>
      <c r="G3" s="82">
        <f t="shared" ref="G3:G7" si="0">F3*E3</f>
        <v>104336</v>
      </c>
    </row>
    <row r="4" spans="1:9" ht="50">
      <c r="A4" s="31">
        <v>2</v>
      </c>
      <c r="B4" s="9" t="s">
        <v>50</v>
      </c>
      <c r="C4" s="30">
        <v>616026</v>
      </c>
      <c r="D4" s="30" t="s">
        <v>17</v>
      </c>
      <c r="E4" s="30">
        <f>1+5</f>
        <v>6</v>
      </c>
      <c r="F4" s="56">
        <v>5614</v>
      </c>
      <c r="G4" s="82">
        <f t="shared" si="0"/>
        <v>33684</v>
      </c>
      <c r="H4" s="83" t="s">
        <v>51</v>
      </c>
      <c r="I4" s="94">
        <v>1</v>
      </c>
    </row>
    <row r="5" spans="1:9" s="81" customFormat="1" ht="29">
      <c r="A5" s="84">
        <v>3</v>
      </c>
      <c r="B5" s="55" t="s">
        <v>52</v>
      </c>
      <c r="C5" s="85">
        <v>716334</v>
      </c>
      <c r="D5" s="85" t="s">
        <v>40</v>
      </c>
      <c r="E5" s="10">
        <v>10</v>
      </c>
      <c r="F5" s="56">
        <v>4995</v>
      </c>
      <c r="G5" s="82">
        <f t="shared" si="0"/>
        <v>49950</v>
      </c>
      <c r="H5" s="86" t="s">
        <v>53</v>
      </c>
      <c r="I5" s="95">
        <v>5</v>
      </c>
    </row>
    <row r="6" spans="1:9" s="81" customFormat="1" ht="25">
      <c r="A6" s="84">
        <v>4</v>
      </c>
      <c r="B6" s="55" t="s">
        <v>52</v>
      </c>
      <c r="C6" s="85">
        <v>695947</v>
      </c>
      <c r="D6" s="85" t="s">
        <v>41</v>
      </c>
      <c r="E6" s="10">
        <v>110</v>
      </c>
      <c r="F6" s="56">
        <v>565</v>
      </c>
      <c r="G6" s="82">
        <f t="shared" si="0"/>
        <v>62150</v>
      </c>
    </row>
    <row r="7" spans="1:9" s="81" customFormat="1" ht="25">
      <c r="A7" s="87">
        <v>5</v>
      </c>
      <c r="B7" s="88" t="s">
        <v>52</v>
      </c>
      <c r="C7" s="89">
        <v>687254</v>
      </c>
      <c r="D7" s="89" t="s">
        <v>42</v>
      </c>
      <c r="E7" s="90">
        <v>50</v>
      </c>
      <c r="F7" s="91">
        <v>1908</v>
      </c>
      <c r="G7" s="92">
        <f t="shared" si="0"/>
        <v>95400</v>
      </c>
    </row>
    <row r="8" spans="1:9">
      <c r="A8" s="214" t="s">
        <v>8</v>
      </c>
      <c r="B8" s="215"/>
      <c r="C8" s="215"/>
      <c r="D8" s="215"/>
      <c r="E8" s="215"/>
      <c r="F8" s="216"/>
      <c r="G8" s="93">
        <f>SUM(G3:G7)</f>
        <v>345520</v>
      </c>
    </row>
    <row r="9" spans="1:9">
      <c r="A9" s="196" t="s">
        <v>13</v>
      </c>
      <c r="B9" s="197"/>
      <c r="C9" s="197"/>
      <c r="D9" s="197"/>
      <c r="E9" s="197"/>
      <c r="F9" s="198"/>
      <c r="G9" s="63">
        <f>G8*9%</f>
        <v>31096.799999999999</v>
      </c>
    </row>
    <row r="10" spans="1:9">
      <c r="A10" s="199" t="s">
        <v>14</v>
      </c>
      <c r="B10" s="200"/>
      <c r="C10" s="200"/>
      <c r="D10" s="200"/>
      <c r="E10" s="200"/>
      <c r="F10" s="201"/>
      <c r="G10" s="64">
        <f>G9</f>
        <v>31096.799999999999</v>
      </c>
    </row>
    <row r="11" spans="1:9">
      <c r="A11" s="187" t="s">
        <v>15</v>
      </c>
      <c r="B11" s="188"/>
      <c r="C11" s="188"/>
      <c r="D11" s="188"/>
      <c r="E11" s="188"/>
      <c r="F11" s="189"/>
      <c r="G11" s="65">
        <f>SUM(G8:G10)</f>
        <v>407713.6</v>
      </c>
    </row>
  </sheetData>
  <mergeCells count="6">
    <mergeCell ref="A11:F11"/>
    <mergeCell ref="A1:B1"/>
    <mergeCell ref="C1:D1"/>
    <mergeCell ref="A8:F8"/>
    <mergeCell ref="A9:F9"/>
    <mergeCell ref="A10:F10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92D050"/>
  </sheetPr>
  <dimension ref="A1:G7"/>
  <sheetViews>
    <sheetView workbookViewId="0">
      <selection activeCell="F1" sqref="F1"/>
    </sheetView>
  </sheetViews>
  <sheetFormatPr defaultColWidth="9" defaultRowHeight="14.5"/>
  <cols>
    <col min="1" max="1" width="5.36328125" customWidth="1"/>
    <col min="2" max="2" width="16.08984375" style="50" customWidth="1"/>
    <col min="3" max="3" width="9.26953125" customWidth="1"/>
    <col min="4" max="4" width="37.6328125" customWidth="1"/>
    <col min="6" max="6" width="9.453125" customWidth="1"/>
    <col min="7" max="7" width="11.1796875" customWidth="1"/>
  </cols>
  <sheetData>
    <row r="1" spans="1:7" ht="18.5">
      <c r="A1" s="203" t="s">
        <v>0</v>
      </c>
      <c r="B1" s="204"/>
      <c r="C1" s="174">
        <v>113</v>
      </c>
      <c r="D1" s="174"/>
      <c r="E1" s="37" t="s">
        <v>1</v>
      </c>
      <c r="F1" s="170">
        <v>45967</v>
      </c>
      <c r="G1" s="1"/>
    </row>
    <row r="2" spans="1:7">
      <c r="A2" s="20" t="s">
        <v>2</v>
      </c>
      <c r="B2" s="39" t="s">
        <v>3</v>
      </c>
      <c r="C2" s="22" t="s">
        <v>4</v>
      </c>
      <c r="D2" s="22" t="s">
        <v>5</v>
      </c>
      <c r="E2" s="22" t="s">
        <v>6</v>
      </c>
      <c r="F2" s="22" t="s">
        <v>7</v>
      </c>
      <c r="G2" s="23" t="s">
        <v>8</v>
      </c>
    </row>
    <row r="3" spans="1:7" ht="25">
      <c r="A3" s="78">
        <v>1</v>
      </c>
      <c r="B3" s="68" t="s">
        <v>54</v>
      </c>
      <c r="C3" s="79">
        <v>616026</v>
      </c>
      <c r="D3" s="79" t="s">
        <v>17</v>
      </c>
      <c r="E3" s="79">
        <v>15</v>
      </c>
      <c r="F3" s="80">
        <v>5614</v>
      </c>
      <c r="G3" s="70">
        <f t="shared" ref="G3" si="0">F3*E3</f>
        <v>84210</v>
      </c>
    </row>
    <row r="4" spans="1:7">
      <c r="A4" s="211" t="s">
        <v>8</v>
      </c>
      <c r="B4" s="212"/>
      <c r="C4" s="212"/>
      <c r="D4" s="212"/>
      <c r="E4" s="212"/>
      <c r="F4" s="213"/>
      <c r="G4" s="36">
        <f>SUM(G3:G3)</f>
        <v>84210</v>
      </c>
    </row>
    <row r="5" spans="1:7">
      <c r="A5" s="178" t="s">
        <v>13</v>
      </c>
      <c r="B5" s="179"/>
      <c r="C5" s="179"/>
      <c r="D5" s="179"/>
      <c r="E5" s="179"/>
      <c r="F5" s="180"/>
      <c r="G5" s="15">
        <f>G4*9%</f>
        <v>7578.9</v>
      </c>
    </row>
    <row r="6" spans="1:7">
      <c r="A6" s="181" t="s">
        <v>14</v>
      </c>
      <c r="B6" s="182"/>
      <c r="C6" s="182"/>
      <c r="D6" s="182"/>
      <c r="E6" s="182"/>
      <c r="F6" s="183"/>
      <c r="G6" s="16">
        <f>G5</f>
        <v>7578.9</v>
      </c>
    </row>
    <row r="7" spans="1:7">
      <c r="A7" s="184" t="s">
        <v>15</v>
      </c>
      <c r="B7" s="185"/>
      <c r="C7" s="185"/>
      <c r="D7" s="185"/>
      <c r="E7" s="185"/>
      <c r="F7" s="186"/>
      <c r="G7" s="17">
        <f>SUM(G4:G6)</f>
        <v>99367.8</v>
      </c>
    </row>
  </sheetData>
  <mergeCells count="6">
    <mergeCell ref="A7:F7"/>
    <mergeCell ref="A1:B1"/>
    <mergeCell ref="C1:D1"/>
    <mergeCell ref="A4:F4"/>
    <mergeCell ref="A5:F5"/>
    <mergeCell ref="A6:F6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92D050"/>
  </sheetPr>
  <dimension ref="A1:H9"/>
  <sheetViews>
    <sheetView workbookViewId="0">
      <selection activeCell="F1" sqref="F1"/>
    </sheetView>
  </sheetViews>
  <sheetFormatPr defaultColWidth="9" defaultRowHeight="14.5"/>
  <cols>
    <col min="2" max="2" width="17.90625" style="50" customWidth="1"/>
    <col min="4" max="4" width="39" customWidth="1"/>
    <col min="6" max="6" width="9.453125" customWidth="1"/>
    <col min="7" max="7" width="11.1796875" customWidth="1"/>
    <col min="8" max="8" width="12.08984375" customWidth="1"/>
  </cols>
  <sheetData>
    <row r="1" spans="1:8" ht="18.5">
      <c r="A1" s="203" t="s">
        <v>0</v>
      </c>
      <c r="B1" s="204"/>
      <c r="C1" s="174">
        <v>114</v>
      </c>
      <c r="D1" s="174"/>
      <c r="E1" s="37" t="s">
        <v>1</v>
      </c>
      <c r="F1" s="171" t="s">
        <v>90</v>
      </c>
      <c r="G1" s="1"/>
    </row>
    <row r="2" spans="1:8">
      <c r="A2" s="20" t="s">
        <v>2</v>
      </c>
      <c r="B2" s="39" t="s">
        <v>3</v>
      </c>
      <c r="C2" s="22" t="s">
        <v>4</v>
      </c>
      <c r="D2" s="22" t="s">
        <v>5</v>
      </c>
      <c r="E2" s="22" t="s">
        <v>6</v>
      </c>
      <c r="F2" s="22" t="s">
        <v>7</v>
      </c>
      <c r="G2" s="23" t="s">
        <v>8</v>
      </c>
    </row>
    <row r="3" spans="1:8" ht="25">
      <c r="A3" s="24">
        <v>1</v>
      </c>
      <c r="B3" s="71" t="s">
        <v>52</v>
      </c>
      <c r="C3" s="72">
        <v>616039</v>
      </c>
      <c r="D3" s="72" t="s">
        <v>31</v>
      </c>
      <c r="E3" s="72">
        <f>4+12</f>
        <v>16</v>
      </c>
      <c r="F3" s="27">
        <v>6521</v>
      </c>
      <c r="G3" s="28">
        <f t="shared" ref="G3:G5" si="0">F3*E3</f>
        <v>104336</v>
      </c>
    </row>
    <row r="4" spans="1:8" ht="25">
      <c r="A4" s="29">
        <v>2</v>
      </c>
      <c r="B4" s="55" t="s">
        <v>52</v>
      </c>
      <c r="C4" s="8">
        <v>630059</v>
      </c>
      <c r="D4" s="8" t="s">
        <v>39</v>
      </c>
      <c r="E4" s="8">
        <v>25</v>
      </c>
      <c r="F4" s="57">
        <v>4048</v>
      </c>
      <c r="G4" s="73">
        <f t="shared" si="0"/>
        <v>101200</v>
      </c>
    </row>
    <row r="5" spans="1:8" ht="25">
      <c r="A5" s="74">
        <v>3</v>
      </c>
      <c r="B5" s="75" t="s">
        <v>52</v>
      </c>
      <c r="C5" s="34">
        <v>716663</v>
      </c>
      <c r="D5" s="34" t="s">
        <v>47</v>
      </c>
      <c r="E5" s="76">
        <v>4</v>
      </c>
      <c r="F5" s="77">
        <v>1896</v>
      </c>
      <c r="G5" s="45">
        <f t="shared" si="0"/>
        <v>7584</v>
      </c>
    </row>
    <row r="6" spans="1:8">
      <c r="A6" s="211" t="s">
        <v>8</v>
      </c>
      <c r="B6" s="212"/>
      <c r="C6" s="212"/>
      <c r="D6" s="212"/>
      <c r="E6" s="212"/>
      <c r="F6" s="213"/>
      <c r="G6" s="36">
        <f>SUM(G3:G5)</f>
        <v>213120</v>
      </c>
    </row>
    <row r="7" spans="1:8">
      <c r="A7" s="178" t="s">
        <v>13</v>
      </c>
      <c r="B7" s="179"/>
      <c r="C7" s="179"/>
      <c r="D7" s="179"/>
      <c r="E7" s="179"/>
      <c r="F7" s="180"/>
      <c r="G7" s="15">
        <f>G6*9%</f>
        <v>19180.8</v>
      </c>
      <c r="H7" s="50"/>
    </row>
    <row r="8" spans="1:8">
      <c r="A8" s="181" t="s">
        <v>14</v>
      </c>
      <c r="B8" s="182"/>
      <c r="C8" s="182"/>
      <c r="D8" s="182"/>
      <c r="E8" s="182"/>
      <c r="F8" s="183"/>
      <c r="G8" s="16">
        <f>G7</f>
        <v>19180.8</v>
      </c>
    </row>
    <row r="9" spans="1:8">
      <c r="A9" s="184" t="s">
        <v>15</v>
      </c>
      <c r="B9" s="185"/>
      <c r="C9" s="185"/>
      <c r="D9" s="185"/>
      <c r="E9" s="185"/>
      <c r="F9" s="186"/>
      <c r="G9" s="17">
        <f>SUM(G6:G8)</f>
        <v>251481.60000000001</v>
      </c>
    </row>
  </sheetData>
  <mergeCells count="6">
    <mergeCell ref="A9:F9"/>
    <mergeCell ref="A1:B1"/>
    <mergeCell ref="C1:D1"/>
    <mergeCell ref="A6:F6"/>
    <mergeCell ref="A7:F7"/>
    <mergeCell ref="A8:F8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rgb="FF92D050"/>
  </sheetPr>
  <dimension ref="A1:H8"/>
  <sheetViews>
    <sheetView workbookViewId="0">
      <selection activeCell="F1" sqref="F1"/>
    </sheetView>
  </sheetViews>
  <sheetFormatPr defaultColWidth="9" defaultRowHeight="14.5"/>
  <cols>
    <col min="2" max="2" width="15.7265625" customWidth="1"/>
    <col min="4" max="4" width="39" customWidth="1"/>
    <col min="6" max="6" width="9.7265625" customWidth="1"/>
    <col min="7" max="7" width="11.1796875" customWidth="1"/>
    <col min="8" max="8" width="12.453125" customWidth="1"/>
  </cols>
  <sheetData>
    <row r="1" spans="1:8" ht="18.5">
      <c r="A1" s="203" t="s">
        <v>0</v>
      </c>
      <c r="B1" s="204"/>
      <c r="C1" s="174">
        <v>115</v>
      </c>
      <c r="D1" s="174"/>
      <c r="E1" s="37" t="s">
        <v>1</v>
      </c>
      <c r="F1" s="171" t="s">
        <v>90</v>
      </c>
      <c r="G1" s="1"/>
    </row>
    <row r="2" spans="1:8">
      <c r="A2" s="20" t="s">
        <v>2</v>
      </c>
      <c r="B2" s="39" t="s">
        <v>3</v>
      </c>
      <c r="C2" s="22" t="s">
        <v>4</v>
      </c>
      <c r="D2" s="22" t="s">
        <v>5</v>
      </c>
      <c r="E2" s="22" t="s">
        <v>6</v>
      </c>
      <c r="F2" s="22" t="s">
        <v>7</v>
      </c>
      <c r="G2" s="23" t="s">
        <v>8</v>
      </c>
    </row>
    <row r="3" spans="1:8" ht="25">
      <c r="A3" s="24">
        <v>1</v>
      </c>
      <c r="B3" s="40" t="s">
        <v>55</v>
      </c>
      <c r="C3" s="26">
        <v>630059</v>
      </c>
      <c r="D3" s="26" t="s">
        <v>39</v>
      </c>
      <c r="E3" s="26">
        <v>15</v>
      </c>
      <c r="F3" s="66">
        <v>4048</v>
      </c>
      <c r="G3" s="67">
        <f>F3*E3</f>
        <v>60720</v>
      </c>
    </row>
    <row r="4" spans="1:8" ht="25">
      <c r="A4" s="32">
        <v>2</v>
      </c>
      <c r="B4" s="68" t="s">
        <v>56</v>
      </c>
      <c r="C4" s="34">
        <v>713141</v>
      </c>
      <c r="D4" s="34" t="s">
        <v>57</v>
      </c>
      <c r="E4" s="34">
        <v>4</v>
      </c>
      <c r="F4" s="69">
        <v>12900</v>
      </c>
      <c r="G4" s="70">
        <f>F4*E4</f>
        <v>51600</v>
      </c>
      <c r="H4" s="46" t="s">
        <v>58</v>
      </c>
    </row>
    <row r="5" spans="1:8">
      <c r="A5" s="211" t="s">
        <v>8</v>
      </c>
      <c r="B5" s="212"/>
      <c r="C5" s="212"/>
      <c r="D5" s="212"/>
      <c r="E5" s="212"/>
      <c r="F5" s="213"/>
      <c r="G5" s="36">
        <f>SUM(G3:G4)</f>
        <v>112320</v>
      </c>
    </row>
    <row r="6" spans="1:8">
      <c r="A6" s="178" t="s">
        <v>13</v>
      </c>
      <c r="B6" s="179"/>
      <c r="C6" s="179"/>
      <c r="D6" s="179"/>
      <c r="E6" s="179"/>
      <c r="F6" s="180"/>
      <c r="G6" s="15">
        <f>G5*9%</f>
        <v>10108.799999999999</v>
      </c>
    </row>
    <row r="7" spans="1:8">
      <c r="A7" s="181" t="s">
        <v>14</v>
      </c>
      <c r="B7" s="182"/>
      <c r="C7" s="182"/>
      <c r="D7" s="182"/>
      <c r="E7" s="182"/>
      <c r="F7" s="183"/>
      <c r="G7" s="16">
        <f>G6</f>
        <v>10108.799999999999</v>
      </c>
      <c r="H7" s="50"/>
    </row>
    <row r="8" spans="1:8">
      <c r="A8" s="184" t="s">
        <v>15</v>
      </c>
      <c r="B8" s="185"/>
      <c r="C8" s="185"/>
      <c r="D8" s="185"/>
      <c r="E8" s="185"/>
      <c r="F8" s="186"/>
      <c r="G8" s="17">
        <f>SUM(G5:G7)</f>
        <v>132537.60000000001</v>
      </c>
    </row>
  </sheetData>
  <mergeCells count="6">
    <mergeCell ref="A8:F8"/>
    <mergeCell ref="A1:B1"/>
    <mergeCell ref="C1:D1"/>
    <mergeCell ref="A5:F5"/>
    <mergeCell ref="A6:F6"/>
    <mergeCell ref="A7:F7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H12"/>
  <sheetViews>
    <sheetView workbookViewId="0">
      <selection activeCell="F1" sqref="F1"/>
    </sheetView>
  </sheetViews>
  <sheetFormatPr defaultColWidth="9" defaultRowHeight="14.5"/>
  <cols>
    <col min="2" max="2" width="14.81640625" style="50" customWidth="1"/>
    <col min="4" max="4" width="39" customWidth="1"/>
    <col min="5" max="5" width="6.08984375" customWidth="1"/>
    <col min="6" max="6" width="9.453125" customWidth="1"/>
    <col min="7" max="7" width="11.1796875" customWidth="1"/>
    <col min="8" max="8" width="18.54296875" customWidth="1"/>
    <col min="9" max="9" width="7.453125" customWidth="1"/>
  </cols>
  <sheetData>
    <row r="1" spans="1:8" ht="18.5">
      <c r="A1" s="190" t="s">
        <v>0</v>
      </c>
      <c r="B1" s="191"/>
      <c r="C1" s="192">
        <v>201</v>
      </c>
      <c r="D1" s="192"/>
      <c r="E1" s="51" t="s">
        <v>1</v>
      </c>
      <c r="F1" s="38">
        <v>45968</v>
      </c>
      <c r="G1" s="50"/>
    </row>
    <row r="2" spans="1:8" ht="15" thickBot="1">
      <c r="A2" s="53" t="s">
        <v>2</v>
      </c>
      <c r="B2" s="39" t="s">
        <v>3</v>
      </c>
      <c r="C2" s="21" t="s">
        <v>4</v>
      </c>
      <c r="D2" s="22" t="s">
        <v>5</v>
      </c>
      <c r="E2" s="21" t="s">
        <v>6</v>
      </c>
      <c r="F2" s="21" t="s">
        <v>7</v>
      </c>
      <c r="G2" s="54" t="s">
        <v>8</v>
      </c>
    </row>
    <row r="3" spans="1:8" s="48" customFormat="1" ht="25">
      <c r="A3" s="141">
        <v>1</v>
      </c>
      <c r="B3" s="71" t="s">
        <v>38</v>
      </c>
      <c r="C3" s="142">
        <v>616026</v>
      </c>
      <c r="D3" s="142" t="s">
        <v>59</v>
      </c>
      <c r="E3" s="143">
        <v>15</v>
      </c>
      <c r="F3" s="144">
        <v>5614</v>
      </c>
      <c r="G3" s="145">
        <f>E3*F3</f>
        <v>84210</v>
      </c>
    </row>
    <row r="4" spans="1:8" ht="25.5" thickBot="1">
      <c r="A4" s="146">
        <v>2</v>
      </c>
      <c r="B4" s="55" t="s">
        <v>52</v>
      </c>
      <c r="C4" s="30">
        <v>630059</v>
      </c>
      <c r="D4" s="30" t="s">
        <v>39</v>
      </c>
      <c r="E4" s="30">
        <v>15</v>
      </c>
      <c r="F4" s="57">
        <v>4048</v>
      </c>
      <c r="G4" s="147">
        <f t="shared" ref="G4:G8" si="0">E4*F4</f>
        <v>60720</v>
      </c>
    </row>
    <row r="5" spans="1:8" ht="25">
      <c r="A5" s="146">
        <v>3</v>
      </c>
      <c r="B5" s="55" t="s">
        <v>60</v>
      </c>
      <c r="C5" s="58">
        <v>616039</v>
      </c>
      <c r="D5" s="58" t="s">
        <v>31</v>
      </c>
      <c r="E5" s="58">
        <v>9</v>
      </c>
      <c r="F5" s="57">
        <v>6521</v>
      </c>
      <c r="G5" s="147">
        <f t="shared" si="0"/>
        <v>58689</v>
      </c>
      <c r="H5" s="59"/>
    </row>
    <row r="6" spans="1:8" ht="25">
      <c r="A6" s="148">
        <v>4</v>
      </c>
      <c r="B6" s="55" t="s">
        <v>89</v>
      </c>
      <c r="C6" s="8">
        <v>780236</v>
      </c>
      <c r="D6" s="8" t="s">
        <v>61</v>
      </c>
      <c r="E6" s="8">
        <v>8</v>
      </c>
      <c r="F6" s="57">
        <v>4160</v>
      </c>
      <c r="G6" s="147">
        <f t="shared" si="0"/>
        <v>33280</v>
      </c>
      <c r="H6" s="60" t="s">
        <v>62</v>
      </c>
    </row>
    <row r="7" spans="1:8" s="49" customFormat="1" ht="25">
      <c r="A7" s="146">
        <v>5</v>
      </c>
      <c r="B7" s="55" t="s">
        <v>63</v>
      </c>
      <c r="C7" s="8">
        <v>695947</v>
      </c>
      <c r="D7" s="8" t="s">
        <v>41</v>
      </c>
      <c r="E7" s="8">
        <v>100</v>
      </c>
      <c r="F7" s="10">
        <v>110</v>
      </c>
      <c r="G7" s="147">
        <f t="shared" si="0"/>
        <v>11000</v>
      </c>
      <c r="H7" s="61"/>
    </row>
    <row r="8" spans="1:8" s="49" customFormat="1" ht="50.5" thickBot="1">
      <c r="A8" s="149">
        <v>6</v>
      </c>
      <c r="B8" s="75" t="s">
        <v>84</v>
      </c>
      <c r="C8" s="34">
        <v>724214</v>
      </c>
      <c r="D8" s="34" t="s">
        <v>35</v>
      </c>
      <c r="E8" s="34">
        <v>10</v>
      </c>
      <c r="F8" s="76">
        <v>2490</v>
      </c>
      <c r="G8" s="150">
        <f t="shared" si="0"/>
        <v>24900</v>
      </c>
      <c r="H8" s="61"/>
    </row>
    <row r="9" spans="1:8" ht="15" thickBot="1">
      <c r="A9" s="217" t="s">
        <v>8</v>
      </c>
      <c r="B9" s="218"/>
      <c r="C9" s="218"/>
      <c r="D9" s="218"/>
      <c r="E9" s="218"/>
      <c r="F9" s="219"/>
      <c r="G9" s="62">
        <f>SUM(G3:G8)</f>
        <v>272799</v>
      </c>
    </row>
    <row r="10" spans="1:8">
      <c r="A10" s="196" t="s">
        <v>13</v>
      </c>
      <c r="B10" s="197"/>
      <c r="C10" s="197"/>
      <c r="D10" s="197"/>
      <c r="E10" s="197"/>
      <c r="F10" s="198"/>
      <c r="G10" s="63">
        <f>G9*9%</f>
        <v>24551.91</v>
      </c>
    </row>
    <row r="11" spans="1:8">
      <c r="A11" s="199" t="s">
        <v>14</v>
      </c>
      <c r="B11" s="200"/>
      <c r="C11" s="200"/>
      <c r="D11" s="200"/>
      <c r="E11" s="200"/>
      <c r="F11" s="201"/>
      <c r="G11" s="64">
        <f>G10</f>
        <v>24551.91</v>
      </c>
      <c r="H11" t="s">
        <v>64</v>
      </c>
    </row>
    <row r="12" spans="1:8">
      <c r="A12" s="187" t="s">
        <v>15</v>
      </c>
      <c r="B12" s="188"/>
      <c r="C12" s="188"/>
      <c r="D12" s="188"/>
      <c r="E12" s="188"/>
      <c r="F12" s="189"/>
      <c r="G12" s="65">
        <f>SUM(G9:G11)</f>
        <v>321902.81999999995</v>
      </c>
    </row>
  </sheetData>
  <mergeCells count="6">
    <mergeCell ref="A12:F12"/>
    <mergeCell ref="A1:B1"/>
    <mergeCell ref="C1:D1"/>
    <mergeCell ref="A9:F9"/>
    <mergeCell ref="A10:F10"/>
    <mergeCell ref="A11:F11"/>
  </mergeCells>
  <pageMargins left="0.7" right="0.7" top="0.75" bottom="0.75" header="0.3" footer="0.3"/>
  <pageSetup orientation="portrait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rgb="FF92D050"/>
  </sheetPr>
  <dimension ref="A1:H8"/>
  <sheetViews>
    <sheetView workbookViewId="0">
      <selection activeCell="F1" sqref="F1"/>
    </sheetView>
  </sheetViews>
  <sheetFormatPr defaultColWidth="9" defaultRowHeight="14.5"/>
  <cols>
    <col min="2" max="2" width="15.54296875" customWidth="1"/>
    <col min="4" max="4" width="33.7265625" customWidth="1"/>
    <col min="6" max="6" width="9.7265625" customWidth="1"/>
    <col min="7" max="7" width="11.1796875" customWidth="1"/>
    <col min="8" max="8" width="12.7265625" customWidth="1"/>
  </cols>
  <sheetData>
    <row r="1" spans="1:8" ht="18.5">
      <c r="A1" s="203" t="s">
        <v>0</v>
      </c>
      <c r="B1" s="204"/>
      <c r="C1" s="174">
        <v>202</v>
      </c>
      <c r="D1" s="174"/>
      <c r="E1" s="37" t="s">
        <v>1</v>
      </c>
      <c r="F1" s="38">
        <v>45968</v>
      </c>
      <c r="G1" s="1"/>
    </row>
    <row r="2" spans="1:8">
      <c r="A2" s="20" t="s">
        <v>2</v>
      </c>
      <c r="B2" s="39" t="s">
        <v>3</v>
      </c>
      <c r="C2" s="22" t="s">
        <v>4</v>
      </c>
      <c r="D2" s="22" t="s">
        <v>5</v>
      </c>
      <c r="E2" s="22" t="s">
        <v>6</v>
      </c>
      <c r="F2" s="22" t="s">
        <v>7</v>
      </c>
      <c r="G2" s="23" t="s">
        <v>8</v>
      </c>
    </row>
    <row r="3" spans="1:8" ht="25">
      <c r="A3" s="24">
        <v>1</v>
      </c>
      <c r="B3" s="40" t="s">
        <v>55</v>
      </c>
      <c r="C3" s="26">
        <v>632215</v>
      </c>
      <c r="D3" s="26" t="s">
        <v>65</v>
      </c>
      <c r="E3" s="26">
        <v>10</v>
      </c>
      <c r="F3" s="41">
        <v>5738</v>
      </c>
      <c r="G3" s="28">
        <f>F3*E3</f>
        <v>57380</v>
      </c>
    </row>
    <row r="4" spans="1:8" ht="29">
      <c r="A4" s="32">
        <v>2</v>
      </c>
      <c r="B4" s="42" t="s">
        <v>88</v>
      </c>
      <c r="C4" s="43">
        <v>616039</v>
      </c>
      <c r="D4" s="43" t="s">
        <v>31</v>
      </c>
      <c r="E4" s="34">
        <v>5</v>
      </c>
      <c r="F4" s="44">
        <v>6521</v>
      </c>
      <c r="G4" s="45">
        <f>F4*E4</f>
        <v>32605</v>
      </c>
      <c r="H4" s="46" t="s">
        <v>62</v>
      </c>
    </row>
    <row r="5" spans="1:8">
      <c r="A5" s="211" t="s">
        <v>8</v>
      </c>
      <c r="B5" s="212"/>
      <c r="C5" s="212"/>
      <c r="D5" s="212"/>
      <c r="E5" s="212"/>
      <c r="F5" s="213"/>
      <c r="G5" s="36">
        <f>SUM(G3:G4)</f>
        <v>89985</v>
      </c>
    </row>
    <row r="6" spans="1:8">
      <c r="A6" s="178" t="s">
        <v>13</v>
      </c>
      <c r="B6" s="179"/>
      <c r="C6" s="179"/>
      <c r="D6" s="179"/>
      <c r="E6" s="179"/>
      <c r="F6" s="180"/>
      <c r="G6" s="15">
        <f>G5*9%</f>
        <v>8098.65</v>
      </c>
    </row>
    <row r="7" spans="1:8">
      <c r="A7" s="220" t="s">
        <v>14</v>
      </c>
      <c r="B7" s="221"/>
      <c r="C7" s="221"/>
      <c r="D7" s="221"/>
      <c r="E7" s="221"/>
      <c r="F7" s="222"/>
      <c r="G7" s="47">
        <f>G6</f>
        <v>8098.65</v>
      </c>
    </row>
    <row r="8" spans="1:8">
      <c r="A8" s="175" t="s">
        <v>15</v>
      </c>
      <c r="B8" s="176"/>
      <c r="C8" s="176"/>
      <c r="D8" s="176"/>
      <c r="E8" s="176"/>
      <c r="F8" s="177"/>
      <c r="G8" s="14">
        <f>SUM(G5:G7)</f>
        <v>106182.29999999999</v>
      </c>
    </row>
  </sheetData>
  <mergeCells count="6">
    <mergeCell ref="A8:F8"/>
    <mergeCell ref="A1:B1"/>
    <mergeCell ref="C1:D1"/>
    <mergeCell ref="A5:F5"/>
    <mergeCell ref="A6:F6"/>
    <mergeCell ref="A7:F7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C71450-F4D2-4835-BCB3-51DA7665C813}">
  <dimension ref="A1:H8"/>
  <sheetViews>
    <sheetView workbookViewId="0">
      <selection sqref="A1:G8"/>
    </sheetView>
  </sheetViews>
  <sheetFormatPr defaultRowHeight="14.5"/>
  <cols>
    <col min="1" max="1" width="8.7265625" style="50"/>
    <col min="2" max="2" width="15.54296875" style="50" customWidth="1"/>
    <col min="3" max="3" width="8.7265625" style="50"/>
    <col min="4" max="4" width="33.7265625" style="50" bestFit="1" customWidth="1"/>
    <col min="5" max="6" width="8.7265625" style="50"/>
    <col min="7" max="7" width="11.1796875" style="50" bestFit="1" customWidth="1"/>
    <col min="8" max="16384" width="8.7265625" style="50"/>
  </cols>
  <sheetData>
    <row r="1" spans="1:8" ht="19" thickBot="1">
      <c r="A1" s="190" t="s">
        <v>0</v>
      </c>
      <c r="B1" s="191"/>
      <c r="C1" s="192">
        <v>203</v>
      </c>
      <c r="D1" s="192"/>
      <c r="E1" s="51" t="s">
        <v>1</v>
      </c>
      <c r="F1" s="52">
        <v>45665</v>
      </c>
    </row>
    <row r="2" spans="1:8" ht="15" thickBot="1">
      <c r="A2" s="53" t="s">
        <v>2</v>
      </c>
      <c r="B2" s="39" t="s">
        <v>3</v>
      </c>
      <c r="C2" s="21" t="s">
        <v>4</v>
      </c>
      <c r="D2" s="21" t="s">
        <v>5</v>
      </c>
      <c r="E2" s="21" t="s">
        <v>6</v>
      </c>
      <c r="F2" s="21" t="s">
        <v>7</v>
      </c>
      <c r="G2" s="54" t="s">
        <v>8</v>
      </c>
    </row>
    <row r="3" spans="1:8" ht="25">
      <c r="A3" s="158">
        <v>1</v>
      </c>
      <c r="B3" s="40" t="s">
        <v>88</v>
      </c>
      <c r="C3" s="25">
        <v>632215</v>
      </c>
      <c r="D3" s="25" t="s">
        <v>65</v>
      </c>
      <c r="E3" s="25">
        <v>5</v>
      </c>
      <c r="F3" s="41">
        <v>5738</v>
      </c>
      <c r="G3" s="159">
        <f>F3*E3</f>
        <v>28690</v>
      </c>
    </row>
    <row r="4" spans="1:8" ht="29.5" thickBot="1">
      <c r="A4" s="160">
        <v>2</v>
      </c>
      <c r="B4" s="42" t="s">
        <v>88</v>
      </c>
      <c r="C4" s="43">
        <v>616039</v>
      </c>
      <c r="D4" s="43" t="s">
        <v>31</v>
      </c>
      <c r="E4" s="33">
        <v>2</v>
      </c>
      <c r="F4" s="44">
        <v>6521</v>
      </c>
      <c r="G4" s="161">
        <f>F4*E4</f>
        <v>13042</v>
      </c>
    </row>
    <row r="5" spans="1:8" ht="15" thickBot="1">
      <c r="A5" s="217" t="s">
        <v>8</v>
      </c>
      <c r="B5" s="218"/>
      <c r="C5" s="218"/>
      <c r="D5" s="218"/>
      <c r="E5" s="218"/>
      <c r="F5" s="219"/>
      <c r="G5" s="62">
        <f>SUM(G3:G4)</f>
        <v>41732</v>
      </c>
    </row>
    <row r="6" spans="1:8">
      <c r="A6" s="196" t="s">
        <v>13</v>
      </c>
      <c r="B6" s="197"/>
      <c r="C6" s="197"/>
      <c r="D6" s="197"/>
      <c r="E6" s="197"/>
      <c r="F6" s="198"/>
      <c r="G6" s="63">
        <f>G5*9%</f>
        <v>3755.8799999999997</v>
      </c>
    </row>
    <row r="7" spans="1:8" ht="15" thickBot="1">
      <c r="A7" s="223" t="s">
        <v>14</v>
      </c>
      <c r="B7" s="224"/>
      <c r="C7" s="224"/>
      <c r="D7" s="224"/>
      <c r="E7" s="224"/>
      <c r="F7" s="225"/>
      <c r="G7" s="162">
        <f>G6</f>
        <v>3755.8799999999997</v>
      </c>
      <c r="H7" s="1"/>
    </row>
    <row r="8" spans="1:8" ht="15" thickBot="1">
      <c r="A8" s="193" t="s">
        <v>15</v>
      </c>
      <c r="B8" s="194"/>
      <c r="C8" s="194"/>
      <c r="D8" s="194"/>
      <c r="E8" s="194"/>
      <c r="F8" s="195"/>
      <c r="G8" s="163">
        <f>SUM(G5:G7)</f>
        <v>49243.759999999995</v>
      </c>
    </row>
  </sheetData>
  <mergeCells count="6">
    <mergeCell ref="A8:F8"/>
    <mergeCell ref="A1:B1"/>
    <mergeCell ref="C1:D1"/>
    <mergeCell ref="A5:F5"/>
    <mergeCell ref="A6:F6"/>
    <mergeCell ref="A7:F7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12A8F6-788A-499C-9931-89872EC21906}">
  <dimension ref="A1:G10"/>
  <sheetViews>
    <sheetView workbookViewId="0">
      <selection sqref="A1:G11"/>
    </sheetView>
  </sheetViews>
  <sheetFormatPr defaultRowHeight="14.5"/>
  <cols>
    <col min="2" max="2" width="16.453125" style="50" customWidth="1"/>
    <col min="4" max="4" width="35.90625" style="99" bestFit="1" customWidth="1"/>
    <col min="6" max="6" width="10.7265625" bestFit="1" customWidth="1"/>
    <col min="7" max="7" width="11.1796875" bestFit="1" customWidth="1"/>
  </cols>
  <sheetData>
    <row r="1" spans="1:7" ht="19" thickBot="1">
      <c r="A1" s="203" t="s">
        <v>0</v>
      </c>
      <c r="B1" s="204"/>
      <c r="C1" s="174">
        <v>203</v>
      </c>
      <c r="D1" s="174"/>
      <c r="E1" s="37" t="s">
        <v>1</v>
      </c>
      <c r="F1" s="52">
        <v>45665</v>
      </c>
      <c r="G1" s="1"/>
    </row>
    <row r="2" spans="1:7" ht="15" thickBot="1">
      <c r="A2" s="20" t="s">
        <v>2</v>
      </c>
      <c r="B2" s="39" t="s">
        <v>3</v>
      </c>
      <c r="C2" s="22" t="s">
        <v>4</v>
      </c>
      <c r="D2" s="22" t="s">
        <v>5</v>
      </c>
      <c r="E2" s="22" t="s">
        <v>6</v>
      </c>
      <c r="F2" s="166" t="s">
        <v>7</v>
      </c>
      <c r="G2" s="23" t="s">
        <v>8</v>
      </c>
    </row>
    <row r="3" spans="1:7" ht="25">
      <c r="A3" s="151">
        <v>1</v>
      </c>
      <c r="B3" s="71" t="s">
        <v>63</v>
      </c>
      <c r="C3" s="72">
        <v>663093</v>
      </c>
      <c r="D3" s="72" t="s">
        <v>87</v>
      </c>
      <c r="E3" s="72">
        <v>1</v>
      </c>
      <c r="F3" s="152">
        <v>6615</v>
      </c>
      <c r="G3" s="153">
        <f>E3*F3</f>
        <v>6615</v>
      </c>
    </row>
    <row r="4" spans="1:7" ht="25">
      <c r="A4" s="155">
        <v>2</v>
      </c>
      <c r="B4" s="55" t="s">
        <v>63</v>
      </c>
      <c r="C4" s="10">
        <v>616026</v>
      </c>
      <c r="D4" s="10" t="s">
        <v>59</v>
      </c>
      <c r="E4" s="157">
        <v>1</v>
      </c>
      <c r="F4" s="98">
        <v>5614</v>
      </c>
      <c r="G4" s="154">
        <f t="shared" ref="G4:G6" si="0">E4*F4</f>
        <v>5614</v>
      </c>
    </row>
    <row r="5" spans="1:7" ht="25">
      <c r="A5" s="164">
        <v>3</v>
      </c>
      <c r="B5" s="55" t="s">
        <v>89</v>
      </c>
      <c r="C5" s="8">
        <v>780236</v>
      </c>
      <c r="D5" s="8" t="s">
        <v>61</v>
      </c>
      <c r="E5" s="8">
        <v>2</v>
      </c>
      <c r="F5" s="12">
        <v>4160</v>
      </c>
      <c r="G5" s="154">
        <f t="shared" si="0"/>
        <v>8320</v>
      </c>
    </row>
    <row r="6" spans="1:7" ht="25.5" thickBot="1">
      <c r="A6" s="165">
        <v>4</v>
      </c>
      <c r="B6" s="75" t="s">
        <v>86</v>
      </c>
      <c r="C6" s="34">
        <v>772264</v>
      </c>
      <c r="D6" s="34" t="s">
        <v>85</v>
      </c>
      <c r="E6" s="34">
        <v>50</v>
      </c>
      <c r="F6" s="169">
        <v>2800</v>
      </c>
      <c r="G6" s="167">
        <f t="shared" si="0"/>
        <v>140000</v>
      </c>
    </row>
    <row r="7" spans="1:7" ht="15" thickBot="1">
      <c r="A7" s="211" t="s">
        <v>8</v>
      </c>
      <c r="B7" s="212"/>
      <c r="C7" s="212"/>
      <c r="D7" s="212"/>
      <c r="E7" s="212"/>
      <c r="F7" s="213"/>
      <c r="G7" s="36">
        <f>SUM(G3:G6)</f>
        <v>160549</v>
      </c>
    </row>
    <row r="8" spans="1:7">
      <c r="A8" s="178" t="s">
        <v>13</v>
      </c>
      <c r="B8" s="179"/>
      <c r="C8" s="179"/>
      <c r="D8" s="179"/>
      <c r="E8" s="179"/>
      <c r="F8" s="180"/>
      <c r="G8" s="15">
        <f>G7*9%</f>
        <v>14449.41</v>
      </c>
    </row>
    <row r="9" spans="1:7">
      <c r="A9" s="181" t="s">
        <v>14</v>
      </c>
      <c r="B9" s="182"/>
      <c r="C9" s="182"/>
      <c r="D9" s="182"/>
      <c r="E9" s="182"/>
      <c r="F9" s="183"/>
      <c r="G9" s="16">
        <f>G8</f>
        <v>14449.41</v>
      </c>
    </row>
    <row r="10" spans="1:7" ht="15" thickBot="1">
      <c r="A10" s="184" t="s">
        <v>15</v>
      </c>
      <c r="B10" s="185"/>
      <c r="C10" s="185"/>
      <c r="D10" s="185"/>
      <c r="E10" s="185"/>
      <c r="F10" s="186"/>
      <c r="G10" s="17">
        <f>SUM(G7:G9)</f>
        <v>189447.82</v>
      </c>
    </row>
  </sheetData>
  <mergeCells count="6">
    <mergeCell ref="A10:F10"/>
    <mergeCell ref="A1:B1"/>
    <mergeCell ref="C1:D1"/>
    <mergeCell ref="A7:F7"/>
    <mergeCell ref="A8:F8"/>
    <mergeCell ref="A9:F9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E98D8D-8D5C-4281-9A88-98508FAC777C}">
  <dimension ref="A1:G9"/>
  <sheetViews>
    <sheetView workbookViewId="0">
      <selection activeCell="D12" sqref="D12"/>
    </sheetView>
  </sheetViews>
  <sheetFormatPr defaultRowHeight="14.5"/>
  <cols>
    <col min="2" max="2" width="17.453125" style="50" customWidth="1"/>
    <col min="4" max="4" width="35.90625" bestFit="1" customWidth="1"/>
    <col min="6" max="6" width="10.7265625" bestFit="1" customWidth="1"/>
    <col min="7" max="7" width="11.1796875" bestFit="1" customWidth="1"/>
  </cols>
  <sheetData>
    <row r="1" spans="1:7" ht="19" thickBot="1">
      <c r="A1" s="203" t="s">
        <v>0</v>
      </c>
      <c r="B1" s="204"/>
      <c r="C1" s="174">
        <v>205</v>
      </c>
      <c r="D1" s="174"/>
      <c r="E1" s="37" t="s">
        <v>1</v>
      </c>
      <c r="F1" s="52">
        <v>45665</v>
      </c>
      <c r="G1" s="1"/>
    </row>
    <row r="2" spans="1:7">
      <c r="A2" s="20" t="s">
        <v>2</v>
      </c>
      <c r="B2" s="39" t="s">
        <v>3</v>
      </c>
      <c r="C2" s="22" t="s">
        <v>4</v>
      </c>
      <c r="D2" s="22" t="s">
        <v>5</v>
      </c>
      <c r="E2" s="22" t="s">
        <v>6</v>
      </c>
      <c r="F2" s="166" t="s">
        <v>7</v>
      </c>
      <c r="G2" s="23" t="s">
        <v>8</v>
      </c>
    </row>
    <row r="3" spans="1:7" ht="25">
      <c r="A3" s="155">
        <v>1</v>
      </c>
      <c r="B3" s="55" t="s">
        <v>63</v>
      </c>
      <c r="C3" s="8">
        <v>635656</v>
      </c>
      <c r="D3" s="156" t="s">
        <v>48</v>
      </c>
      <c r="E3" s="8">
        <v>30</v>
      </c>
      <c r="F3" s="12">
        <v>2818</v>
      </c>
      <c r="G3" s="154">
        <f t="shared" ref="G3:G4" si="0">E3*F3</f>
        <v>84540</v>
      </c>
    </row>
    <row r="4" spans="1:7" ht="25">
      <c r="A4" s="164">
        <v>2</v>
      </c>
      <c r="B4" s="55" t="s">
        <v>63</v>
      </c>
      <c r="C4" s="8">
        <v>635655</v>
      </c>
      <c r="D4" s="156" t="s">
        <v>27</v>
      </c>
      <c r="E4" s="8">
        <v>30</v>
      </c>
      <c r="F4" s="12">
        <v>4726</v>
      </c>
      <c r="G4" s="154">
        <f t="shared" si="0"/>
        <v>141780</v>
      </c>
    </row>
    <row r="5" spans="1:7" ht="15" thickBot="1">
      <c r="A5" s="211" t="s">
        <v>8</v>
      </c>
      <c r="B5" s="212"/>
      <c r="C5" s="212"/>
      <c r="D5" s="212"/>
      <c r="E5" s="212"/>
      <c r="F5" s="213"/>
      <c r="G5" s="36">
        <f>SUM(G3:G4)</f>
        <v>226320</v>
      </c>
    </row>
    <row r="6" spans="1:7">
      <c r="A6" s="178" t="s">
        <v>13</v>
      </c>
      <c r="B6" s="179"/>
      <c r="C6" s="179"/>
      <c r="D6" s="179"/>
      <c r="E6" s="179"/>
      <c r="F6" s="180"/>
      <c r="G6" s="15">
        <f>G5*9%</f>
        <v>20368.8</v>
      </c>
    </row>
    <row r="7" spans="1:7">
      <c r="A7" s="181" t="s">
        <v>14</v>
      </c>
      <c r="B7" s="182"/>
      <c r="C7" s="182"/>
      <c r="D7" s="182"/>
      <c r="E7" s="182"/>
      <c r="F7" s="183"/>
      <c r="G7" s="16">
        <f>G6</f>
        <v>20368.8</v>
      </c>
    </row>
    <row r="8" spans="1:7" ht="15" thickBot="1">
      <c r="A8" s="184" t="s">
        <v>15</v>
      </c>
      <c r="B8" s="185"/>
      <c r="C8" s="185"/>
      <c r="D8" s="185"/>
      <c r="E8" s="185"/>
      <c r="F8" s="186"/>
      <c r="G8" s="17">
        <f>SUM(G5:G7)</f>
        <v>267057.59999999998</v>
      </c>
    </row>
    <row r="9" spans="1:7">
      <c r="A9" s="1"/>
      <c r="C9" s="99"/>
      <c r="D9" s="1"/>
      <c r="E9" s="1"/>
      <c r="F9" s="168"/>
      <c r="G9" s="1"/>
    </row>
  </sheetData>
  <mergeCells count="6">
    <mergeCell ref="A8:F8"/>
    <mergeCell ref="A1:B1"/>
    <mergeCell ref="C1:D1"/>
    <mergeCell ref="A5:F5"/>
    <mergeCell ref="A6:F6"/>
    <mergeCell ref="A7:F7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B39691-43D9-4A8F-BEB1-729DB795EDEE}">
  <dimension ref="A1:H9"/>
  <sheetViews>
    <sheetView tabSelected="1" workbookViewId="0">
      <selection activeCell="B3" sqref="B3"/>
    </sheetView>
  </sheetViews>
  <sheetFormatPr defaultRowHeight="14.5"/>
  <cols>
    <col min="2" max="2" width="17.26953125" style="50" customWidth="1"/>
    <col min="4" max="4" width="37.6328125" bestFit="1" customWidth="1"/>
    <col min="6" max="6" width="9.08984375" bestFit="1" customWidth="1"/>
    <col min="7" max="7" width="10.1796875" bestFit="1" customWidth="1"/>
  </cols>
  <sheetData>
    <row r="1" spans="1:8" ht="19" thickBot="1">
      <c r="A1" s="203" t="s">
        <v>0</v>
      </c>
      <c r="B1" s="204"/>
      <c r="C1" s="174">
        <v>206</v>
      </c>
      <c r="D1" s="174"/>
      <c r="E1" s="37" t="s">
        <v>1</v>
      </c>
      <c r="F1" s="38">
        <v>45665</v>
      </c>
      <c r="G1" s="1"/>
    </row>
    <row r="2" spans="1:8" ht="15" thickBot="1">
      <c r="A2" s="20" t="s">
        <v>2</v>
      </c>
      <c r="B2" s="39" t="s">
        <v>3</v>
      </c>
      <c r="C2" s="22" t="s">
        <v>4</v>
      </c>
      <c r="D2" s="22" t="s">
        <v>5</v>
      </c>
      <c r="E2" s="22" t="s">
        <v>6</v>
      </c>
      <c r="F2" s="22" t="s">
        <v>7</v>
      </c>
      <c r="G2" s="23" t="s">
        <v>8</v>
      </c>
    </row>
    <row r="3" spans="1:8" ht="25">
      <c r="A3" s="232">
        <v>1</v>
      </c>
      <c r="B3" s="40" t="s">
        <v>88</v>
      </c>
      <c r="C3" s="233">
        <v>646872</v>
      </c>
      <c r="D3" s="233" t="s">
        <v>91</v>
      </c>
      <c r="E3" s="26">
        <v>10</v>
      </c>
      <c r="F3" s="234">
        <v>3555</v>
      </c>
      <c r="G3" s="28">
        <f>F3*E3</f>
        <v>35550</v>
      </c>
    </row>
    <row r="4" spans="1:8" ht="25">
      <c r="A4" s="173">
        <v>2</v>
      </c>
      <c r="B4" s="9" t="s">
        <v>88</v>
      </c>
      <c r="C4" s="8">
        <v>632215</v>
      </c>
      <c r="D4" s="8" t="s">
        <v>65</v>
      </c>
      <c r="E4" s="8">
        <v>5</v>
      </c>
      <c r="F4" s="12">
        <v>5738</v>
      </c>
      <c r="G4" s="73">
        <f t="shared" ref="G4:G5" si="0">F4*E4</f>
        <v>28690</v>
      </c>
    </row>
    <row r="5" spans="1:8" ht="25.5" thickBot="1">
      <c r="A5" s="172">
        <v>3</v>
      </c>
      <c r="B5" s="42" t="s">
        <v>88</v>
      </c>
      <c r="C5" s="76">
        <v>616039</v>
      </c>
      <c r="D5" s="76" t="s">
        <v>31</v>
      </c>
      <c r="E5" s="34">
        <v>3</v>
      </c>
      <c r="F5" s="35">
        <v>6521</v>
      </c>
      <c r="G5" s="45">
        <f t="shared" si="0"/>
        <v>19563</v>
      </c>
    </row>
    <row r="6" spans="1:8" ht="15" thickBot="1">
      <c r="A6" s="211" t="s">
        <v>8</v>
      </c>
      <c r="B6" s="212"/>
      <c r="C6" s="212"/>
      <c r="D6" s="212"/>
      <c r="E6" s="212"/>
      <c r="F6" s="213"/>
      <c r="G6" s="36">
        <f>SUM(G3:G5)</f>
        <v>83803</v>
      </c>
    </row>
    <row r="7" spans="1:8">
      <c r="A7" s="178" t="s">
        <v>13</v>
      </c>
      <c r="B7" s="179"/>
      <c r="C7" s="179"/>
      <c r="D7" s="179"/>
      <c r="E7" s="179"/>
      <c r="F7" s="180"/>
      <c r="G7" s="15">
        <f>G6*9%</f>
        <v>7542.2699999999995</v>
      </c>
    </row>
    <row r="8" spans="1:8" ht="15" thickBot="1">
      <c r="A8" s="220" t="s">
        <v>14</v>
      </c>
      <c r="B8" s="221"/>
      <c r="C8" s="221"/>
      <c r="D8" s="221"/>
      <c r="E8" s="221"/>
      <c r="F8" s="222"/>
      <c r="G8" s="47">
        <f>G7</f>
        <v>7542.2699999999995</v>
      </c>
    </row>
    <row r="9" spans="1:8" ht="15" thickBot="1">
      <c r="A9" s="175" t="s">
        <v>15</v>
      </c>
      <c r="B9" s="176"/>
      <c r="C9" s="176"/>
      <c r="D9" s="176"/>
      <c r="E9" s="176"/>
      <c r="F9" s="177"/>
      <c r="G9" s="14">
        <f>SUM(G6:G8)</f>
        <v>98887.540000000008</v>
      </c>
      <c r="H9" t="s">
        <v>64</v>
      </c>
    </row>
  </sheetData>
  <mergeCells count="6">
    <mergeCell ref="A9:F9"/>
    <mergeCell ref="A1:B1"/>
    <mergeCell ref="C1:D1"/>
    <mergeCell ref="A6:F6"/>
    <mergeCell ref="A7:F7"/>
    <mergeCell ref="A8:F8"/>
  </mergeCells>
  <pageMargins left="0.7" right="0.7" top="0.75" bottom="0.75" header="0.3" footer="0.3"/>
  <pageSetup orientation="portrait" horizontalDpi="0" verticalDpi="0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2F7CFD-7BD1-4E97-8E09-1A13CAA16FD5}">
  <dimension ref="A1:H10"/>
  <sheetViews>
    <sheetView workbookViewId="0">
      <selection activeCell="D13" sqref="D13"/>
    </sheetView>
  </sheetViews>
  <sheetFormatPr defaultRowHeight="14.5"/>
  <cols>
    <col min="2" max="2" width="18.81640625" style="50" customWidth="1"/>
    <col min="4" max="4" width="35.90625" bestFit="1" customWidth="1"/>
    <col min="6" max="6" width="9.08984375" bestFit="1" customWidth="1"/>
    <col min="7" max="7" width="11.1796875" bestFit="1" customWidth="1"/>
  </cols>
  <sheetData>
    <row r="1" spans="1:8" ht="19" thickBot="1">
      <c r="A1" s="203" t="s">
        <v>0</v>
      </c>
      <c r="B1" s="204"/>
      <c r="C1" s="174">
        <v>207</v>
      </c>
      <c r="D1" s="174"/>
      <c r="E1" s="37" t="s">
        <v>1</v>
      </c>
      <c r="F1" s="38">
        <v>45665</v>
      </c>
      <c r="G1" s="1"/>
    </row>
    <row r="2" spans="1:8" ht="15" thickBot="1">
      <c r="A2" s="20" t="s">
        <v>2</v>
      </c>
      <c r="B2" s="39" t="s">
        <v>3</v>
      </c>
      <c r="C2" s="22" t="s">
        <v>4</v>
      </c>
      <c r="D2" s="22" t="s">
        <v>5</v>
      </c>
      <c r="E2" s="22" t="s">
        <v>6</v>
      </c>
      <c r="F2" s="166" t="s">
        <v>7</v>
      </c>
      <c r="G2" s="23" t="s">
        <v>8</v>
      </c>
    </row>
    <row r="3" spans="1:8" s="48" customFormat="1" ht="25">
      <c r="A3" s="228">
        <v>1</v>
      </c>
      <c r="B3" s="71" t="s">
        <v>63</v>
      </c>
      <c r="C3" s="72">
        <v>616026</v>
      </c>
      <c r="D3" s="72" t="s">
        <v>59</v>
      </c>
      <c r="E3" s="229">
        <f>9+3</f>
        <v>12</v>
      </c>
      <c r="F3" s="152">
        <v>5614</v>
      </c>
      <c r="G3" s="153">
        <f t="shared" ref="G3:G5" si="0">E3*F3</f>
        <v>67368</v>
      </c>
    </row>
    <row r="4" spans="1:8" s="48" customFormat="1" ht="25">
      <c r="A4" s="164">
        <v>2</v>
      </c>
      <c r="B4" s="55" t="s">
        <v>63</v>
      </c>
      <c r="C4" s="226">
        <v>632215</v>
      </c>
      <c r="D4" s="226" t="s">
        <v>65</v>
      </c>
      <c r="E4" s="10">
        <v>1</v>
      </c>
      <c r="F4" s="227">
        <v>5738</v>
      </c>
      <c r="G4" s="154">
        <f t="shared" si="0"/>
        <v>5738</v>
      </c>
    </row>
    <row r="5" spans="1:8" s="48" customFormat="1" ht="25.5" thickBot="1">
      <c r="A5" s="165">
        <v>3</v>
      </c>
      <c r="B5" s="75" t="s">
        <v>63</v>
      </c>
      <c r="C5" s="230">
        <v>646872</v>
      </c>
      <c r="D5" s="230" t="s">
        <v>91</v>
      </c>
      <c r="E5" s="76">
        <v>7</v>
      </c>
      <c r="F5" s="231">
        <v>3555</v>
      </c>
      <c r="G5" s="167">
        <f t="shared" si="0"/>
        <v>24885</v>
      </c>
    </row>
    <row r="6" spans="1:8" ht="15" thickBot="1">
      <c r="A6" s="211" t="s">
        <v>8</v>
      </c>
      <c r="B6" s="212"/>
      <c r="C6" s="212"/>
      <c r="D6" s="212"/>
      <c r="E6" s="212"/>
      <c r="F6" s="213"/>
      <c r="G6" s="36">
        <f>SUM(G3:G5)</f>
        <v>97991</v>
      </c>
    </row>
    <row r="7" spans="1:8">
      <c r="A7" s="178" t="s">
        <v>13</v>
      </c>
      <c r="B7" s="179"/>
      <c r="C7" s="179"/>
      <c r="D7" s="179"/>
      <c r="E7" s="179"/>
      <c r="F7" s="180"/>
      <c r="G7" s="15">
        <f>G6*9%</f>
        <v>8819.19</v>
      </c>
    </row>
    <row r="8" spans="1:8">
      <c r="A8" s="181" t="s">
        <v>14</v>
      </c>
      <c r="B8" s="182"/>
      <c r="C8" s="182"/>
      <c r="D8" s="182"/>
      <c r="E8" s="182"/>
      <c r="F8" s="183"/>
      <c r="G8" s="16">
        <f>G7</f>
        <v>8819.19</v>
      </c>
    </row>
    <row r="9" spans="1:8" ht="15" thickBot="1">
      <c r="A9" s="184" t="s">
        <v>15</v>
      </c>
      <c r="B9" s="185"/>
      <c r="C9" s="185"/>
      <c r="D9" s="185"/>
      <c r="E9" s="185"/>
      <c r="F9" s="186"/>
      <c r="G9" s="17">
        <f>SUM(G6:G8)</f>
        <v>115629.38</v>
      </c>
      <c r="H9" t="s">
        <v>64</v>
      </c>
    </row>
    <row r="10" spans="1:8">
      <c r="A10" s="1"/>
      <c r="C10" s="1"/>
      <c r="D10" s="99"/>
      <c r="E10" s="1"/>
      <c r="F10" s="1"/>
      <c r="G10" s="1"/>
    </row>
  </sheetData>
  <mergeCells count="6">
    <mergeCell ref="A9:F9"/>
    <mergeCell ref="A1:B1"/>
    <mergeCell ref="C1:D1"/>
    <mergeCell ref="A6:F6"/>
    <mergeCell ref="A7:F7"/>
    <mergeCell ref="A8:F8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G23"/>
  <sheetViews>
    <sheetView topLeftCell="A7" workbookViewId="0">
      <selection activeCell="F8" sqref="F8"/>
    </sheetView>
  </sheetViews>
  <sheetFormatPr defaultColWidth="9" defaultRowHeight="14.5"/>
  <cols>
    <col min="2" max="2" width="45.36328125" style="18" customWidth="1"/>
    <col min="4" max="4" width="10.453125" customWidth="1"/>
    <col min="5" max="5" width="10.08984375" customWidth="1"/>
  </cols>
  <sheetData>
    <row r="1" spans="1:7" ht="18.5">
      <c r="A1" s="2" t="s">
        <v>0</v>
      </c>
      <c r="B1" s="19"/>
      <c r="C1" s="3" t="s">
        <v>1</v>
      </c>
      <c r="D1" s="1" t="s">
        <v>33</v>
      </c>
      <c r="E1" s="1"/>
    </row>
    <row r="2" spans="1:7">
      <c r="A2" s="20" t="s">
        <v>2</v>
      </c>
      <c r="B2" s="21" t="s">
        <v>5</v>
      </c>
      <c r="C2" s="22" t="s">
        <v>6</v>
      </c>
      <c r="D2" s="22" t="s">
        <v>7</v>
      </c>
      <c r="E2" s="23" t="s">
        <v>8</v>
      </c>
    </row>
    <row r="3" spans="1:7" ht="43.5">
      <c r="A3" s="24">
        <v>1</v>
      </c>
      <c r="B3" s="25" t="s">
        <v>66</v>
      </c>
      <c r="C3" s="26">
        <v>33</v>
      </c>
      <c r="D3" s="27"/>
      <c r="E3" s="28">
        <f>D3*C3</f>
        <v>0</v>
      </c>
    </row>
    <row r="4" spans="1:7" ht="29">
      <c r="A4" s="29">
        <v>2</v>
      </c>
      <c r="B4" s="30" t="s">
        <v>67</v>
      </c>
      <c r="C4" s="8">
        <v>5</v>
      </c>
      <c r="D4" s="12"/>
      <c r="E4" s="28">
        <f t="shared" ref="E4:E19" si="0">D4*C4</f>
        <v>0</v>
      </c>
      <c r="G4" t="s">
        <v>68</v>
      </c>
    </row>
    <row r="5" spans="1:7" ht="29">
      <c r="A5" s="29">
        <v>3</v>
      </c>
      <c r="B5" s="30" t="s">
        <v>69</v>
      </c>
      <c r="C5" s="8">
        <v>4</v>
      </c>
      <c r="D5" s="12"/>
      <c r="E5" s="28">
        <f t="shared" si="0"/>
        <v>0</v>
      </c>
    </row>
    <row r="6" spans="1:7" ht="29">
      <c r="A6" s="29">
        <v>4</v>
      </c>
      <c r="B6" s="30" t="s">
        <v>70</v>
      </c>
      <c r="C6" s="8">
        <v>5</v>
      </c>
      <c r="D6" s="12"/>
      <c r="E6" s="28">
        <f t="shared" si="0"/>
        <v>0</v>
      </c>
    </row>
    <row r="7" spans="1:7" ht="43.5">
      <c r="A7" s="29">
        <v>5</v>
      </c>
      <c r="B7" s="30" t="s">
        <v>71</v>
      </c>
      <c r="C7" s="8">
        <v>8</v>
      </c>
      <c r="D7" s="12"/>
      <c r="E7" s="28">
        <f t="shared" si="0"/>
        <v>0</v>
      </c>
    </row>
    <row r="8" spans="1:7" ht="29">
      <c r="A8" s="29">
        <v>6</v>
      </c>
      <c r="B8" s="30" t="s">
        <v>72</v>
      </c>
      <c r="C8" s="8">
        <v>37</v>
      </c>
      <c r="D8" s="12"/>
      <c r="E8" s="28">
        <f t="shared" si="0"/>
        <v>0</v>
      </c>
    </row>
    <row r="9" spans="1:7" ht="29">
      <c r="A9" s="29">
        <v>7</v>
      </c>
      <c r="B9" s="30" t="s">
        <v>73</v>
      </c>
      <c r="C9" s="8">
        <v>23</v>
      </c>
      <c r="D9" s="12"/>
      <c r="E9" s="28">
        <f t="shared" si="0"/>
        <v>0</v>
      </c>
    </row>
    <row r="10" spans="1:7" ht="43.5">
      <c r="A10" s="29">
        <v>8</v>
      </c>
      <c r="B10" s="30" t="s">
        <v>74</v>
      </c>
      <c r="C10" s="8">
        <v>64</v>
      </c>
      <c r="D10" s="12"/>
      <c r="E10" s="28">
        <f t="shared" si="0"/>
        <v>0</v>
      </c>
    </row>
    <row r="11" spans="1:7">
      <c r="A11" s="29">
        <v>9</v>
      </c>
      <c r="B11" s="30" t="s">
        <v>75</v>
      </c>
      <c r="C11" s="8">
        <v>32</v>
      </c>
      <c r="D11" s="12"/>
      <c r="E11" s="28">
        <f t="shared" si="0"/>
        <v>0</v>
      </c>
    </row>
    <row r="12" spans="1:7" ht="43.5">
      <c r="A12" s="31">
        <v>10</v>
      </c>
      <c r="B12" s="30" t="s">
        <v>76</v>
      </c>
      <c r="C12" s="30">
        <v>15</v>
      </c>
      <c r="D12" s="12"/>
      <c r="E12" s="28">
        <f t="shared" si="0"/>
        <v>0</v>
      </c>
    </row>
    <row r="13" spans="1:7" ht="43.5">
      <c r="A13" s="31">
        <v>11</v>
      </c>
      <c r="B13" s="30" t="s">
        <v>77</v>
      </c>
      <c r="C13" s="30">
        <v>12</v>
      </c>
      <c r="D13" s="12"/>
      <c r="E13" s="28">
        <f t="shared" si="0"/>
        <v>0</v>
      </c>
    </row>
    <row r="14" spans="1:7" ht="43.5">
      <c r="A14" s="29">
        <v>12</v>
      </c>
      <c r="B14" s="30" t="s">
        <v>78</v>
      </c>
      <c r="C14" s="8">
        <v>5</v>
      </c>
      <c r="D14" s="12"/>
      <c r="E14" s="28">
        <f t="shared" si="0"/>
        <v>0</v>
      </c>
    </row>
    <row r="15" spans="1:7" ht="43.5">
      <c r="A15" s="29">
        <v>13</v>
      </c>
      <c r="B15" s="30" t="s">
        <v>79</v>
      </c>
      <c r="C15" s="8">
        <v>12</v>
      </c>
      <c r="D15" s="12"/>
      <c r="E15" s="28">
        <f t="shared" si="0"/>
        <v>0</v>
      </c>
    </row>
    <row r="16" spans="1:7">
      <c r="A16" s="29">
        <v>14</v>
      </c>
      <c r="B16" s="30" t="s">
        <v>80</v>
      </c>
      <c r="C16" s="8">
        <v>11</v>
      </c>
      <c r="D16" s="12"/>
      <c r="E16" s="28">
        <f t="shared" si="0"/>
        <v>0</v>
      </c>
    </row>
    <row r="17" spans="1:5">
      <c r="A17" s="29">
        <v>15</v>
      </c>
      <c r="B17" s="30" t="s">
        <v>81</v>
      </c>
      <c r="C17" s="8">
        <v>11</v>
      </c>
      <c r="D17" s="12"/>
      <c r="E17" s="28">
        <f t="shared" si="0"/>
        <v>0</v>
      </c>
    </row>
    <row r="18" spans="1:5" ht="29">
      <c r="A18" s="29">
        <v>16</v>
      </c>
      <c r="B18" s="30" t="s">
        <v>82</v>
      </c>
      <c r="C18" s="8">
        <v>11</v>
      </c>
      <c r="D18" s="12"/>
      <c r="E18" s="28">
        <f t="shared" si="0"/>
        <v>0</v>
      </c>
    </row>
    <row r="19" spans="1:5" ht="29">
      <c r="A19" s="32">
        <v>17</v>
      </c>
      <c r="B19" s="33" t="s">
        <v>83</v>
      </c>
      <c r="C19" s="34">
        <v>12</v>
      </c>
      <c r="D19" s="35"/>
      <c r="E19" s="28">
        <f t="shared" si="0"/>
        <v>0</v>
      </c>
    </row>
    <row r="20" spans="1:5">
      <c r="A20" s="211" t="s">
        <v>8</v>
      </c>
      <c r="B20" s="212"/>
      <c r="C20" s="212"/>
      <c r="D20" s="213"/>
      <c r="E20" s="36">
        <f>SUM(E3:E3)</f>
        <v>0</v>
      </c>
    </row>
    <row r="21" spans="1:5">
      <c r="A21" s="178" t="s">
        <v>13</v>
      </c>
      <c r="B21" s="179"/>
      <c r="C21" s="179"/>
      <c r="D21" s="180"/>
      <c r="E21" s="15">
        <f>E20*9%</f>
        <v>0</v>
      </c>
    </row>
    <row r="22" spans="1:5">
      <c r="A22" s="181" t="s">
        <v>14</v>
      </c>
      <c r="B22" s="182"/>
      <c r="C22" s="182"/>
      <c r="D22" s="183"/>
      <c r="E22" s="16">
        <f>E21</f>
        <v>0</v>
      </c>
    </row>
    <row r="23" spans="1:5">
      <c r="A23" s="184" t="s">
        <v>15</v>
      </c>
      <c r="B23" s="185"/>
      <c r="C23" s="185"/>
      <c r="D23" s="186"/>
      <c r="E23" s="17">
        <f>SUM(E20:E22)</f>
        <v>0</v>
      </c>
    </row>
  </sheetData>
  <mergeCells count="4">
    <mergeCell ref="A20:D20"/>
    <mergeCell ref="A21:D21"/>
    <mergeCell ref="A22:D22"/>
    <mergeCell ref="A23:D23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H7"/>
  <sheetViews>
    <sheetView workbookViewId="0">
      <selection activeCell="D8" sqref="D8"/>
    </sheetView>
  </sheetViews>
  <sheetFormatPr defaultColWidth="9" defaultRowHeight="14.5"/>
  <cols>
    <col min="2" max="2" width="14.81640625" customWidth="1"/>
    <col min="4" max="4" width="25.26953125" customWidth="1"/>
    <col min="5" max="5" width="9.36328125" customWidth="1"/>
    <col min="6" max="6" width="10.453125" customWidth="1"/>
    <col min="7" max="7" width="14.36328125" customWidth="1"/>
  </cols>
  <sheetData>
    <row r="1" spans="1:8" ht="18.5">
      <c r="A1" s="203" t="s">
        <v>0</v>
      </c>
      <c r="B1" s="204"/>
      <c r="C1" s="174">
        <v>109</v>
      </c>
      <c r="D1" s="174"/>
      <c r="E1" s="3" t="s">
        <v>1</v>
      </c>
      <c r="F1" t="s">
        <v>33</v>
      </c>
      <c r="G1" s="1"/>
    </row>
    <row r="2" spans="1:8">
      <c r="A2" s="4" t="s">
        <v>2</v>
      </c>
      <c r="B2" s="5" t="s">
        <v>3</v>
      </c>
      <c r="C2" s="6" t="s">
        <v>4</v>
      </c>
      <c r="D2" s="6" t="s">
        <v>5</v>
      </c>
      <c r="E2" s="6" t="s">
        <v>6</v>
      </c>
      <c r="F2" s="6" t="s">
        <v>7</v>
      </c>
      <c r="G2" s="7" t="s">
        <v>8</v>
      </c>
    </row>
    <row r="3" spans="1:8" s="1" customFormat="1" ht="26">
      <c r="A3" s="8">
        <v>2</v>
      </c>
      <c r="B3" s="9" t="s">
        <v>44</v>
      </c>
      <c r="C3" s="10">
        <v>681149</v>
      </c>
      <c r="D3" s="11" t="s">
        <v>45</v>
      </c>
      <c r="E3" s="10">
        <v>1</v>
      </c>
      <c r="F3" s="12">
        <v>9703</v>
      </c>
      <c r="G3" s="13">
        <f>F3*E3</f>
        <v>9703</v>
      </c>
    </row>
    <row r="4" spans="1:8">
      <c r="A4" s="211" t="s">
        <v>8</v>
      </c>
      <c r="B4" s="212"/>
      <c r="C4" s="212"/>
      <c r="D4" s="212"/>
      <c r="E4" s="212"/>
      <c r="F4" s="213"/>
      <c r="G4" s="14">
        <f>SUM(G3:G3)</f>
        <v>9703</v>
      </c>
    </row>
    <row r="5" spans="1:8">
      <c r="A5" s="178" t="s">
        <v>13</v>
      </c>
      <c r="B5" s="179"/>
      <c r="C5" s="179"/>
      <c r="D5" s="179"/>
      <c r="E5" s="179"/>
      <c r="F5" s="180"/>
      <c r="G5" s="15">
        <f>G4*9%</f>
        <v>873.27</v>
      </c>
    </row>
    <row r="6" spans="1:8">
      <c r="A6" s="181" t="s">
        <v>14</v>
      </c>
      <c r="B6" s="182"/>
      <c r="C6" s="182"/>
      <c r="D6" s="182"/>
      <c r="E6" s="182"/>
      <c r="F6" s="183"/>
      <c r="G6" s="16">
        <f>G5</f>
        <v>873.27</v>
      </c>
    </row>
    <row r="7" spans="1:8">
      <c r="A7" s="184" t="s">
        <v>15</v>
      </c>
      <c r="B7" s="185"/>
      <c r="C7" s="185"/>
      <c r="D7" s="185"/>
      <c r="E7" s="185"/>
      <c r="F7" s="186"/>
      <c r="G7" s="17">
        <f>SUM(G4:G6)</f>
        <v>11449.54</v>
      </c>
      <c r="H7" t="s">
        <v>64</v>
      </c>
    </row>
  </sheetData>
  <mergeCells count="6">
    <mergeCell ref="A7:F7"/>
    <mergeCell ref="A1:B1"/>
    <mergeCell ref="C1:D1"/>
    <mergeCell ref="A4:F4"/>
    <mergeCell ref="A5:F5"/>
    <mergeCell ref="A6:F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24</vt:i4>
      </vt:variant>
    </vt:vector>
  </HeadingPairs>
  <TitlesOfParts>
    <vt:vector size="24" baseType="lpstr">
      <vt:lpstr>M Putz 101</vt:lpstr>
      <vt:lpstr>A Putz 102</vt:lpstr>
      <vt:lpstr>M Putz-103</vt:lpstr>
      <vt:lpstr>A Putz 104</vt:lpstr>
      <vt:lpstr>M Putz 105</vt:lpstr>
      <vt:lpstr>M Putz 106</vt:lpstr>
      <vt:lpstr>A Putz 107</vt:lpstr>
      <vt:lpstr>M Putz 108</vt:lpstr>
      <vt:lpstr>M Putz 109</vt:lpstr>
      <vt:lpstr>M Putz 110</vt:lpstr>
      <vt:lpstr>M Putz 111</vt:lpstr>
      <vt:lpstr>M Putz 112</vt:lpstr>
      <vt:lpstr>A Putz 113</vt:lpstr>
      <vt:lpstr>M Putz 114</vt:lpstr>
      <vt:lpstr>A Putz 115</vt:lpstr>
      <vt:lpstr>M Putz 201</vt:lpstr>
      <vt:lpstr>A Putz 202</vt:lpstr>
      <vt:lpstr>A Putz 203</vt:lpstr>
      <vt:lpstr>M Putz 204</vt:lpstr>
      <vt:lpstr>M Putz 205</vt:lpstr>
      <vt:lpstr>A Putz 206</vt:lpstr>
      <vt:lpstr>M Putz 207</vt:lpstr>
      <vt:lpstr>B&amp;F Realty 1</vt:lpstr>
      <vt:lpstr>M Putz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ACCOUNTS</dc:creator>
  <cp:lastModifiedBy>ACCOUNTS</cp:lastModifiedBy>
  <dcterms:created xsi:type="dcterms:W3CDTF">2025-04-01T08:59:00Z</dcterms:created>
  <dcterms:modified xsi:type="dcterms:W3CDTF">2025-08-11T08:44:40Z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E0A11BBDC54F49AD98FCD153932E03B7_12</vt:lpwstr>
  </property>
  <property fmtid="{D5CDD505-2E9C-101B-9397-08002B2CF9AE}" pid="3" name="KSOProductBuildVer">
    <vt:lpwstr>1033-12.2.0.21931</vt:lpwstr>
  </property>
</Properties>
</file>